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0272EFAA-E321-49F2-9232-A646101ABC7C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Daily Returns" sheetId="1" r:id="rId1"/>
    <sheet name="Metrics" sheetId="2" r:id="rId2"/>
    <sheet name="Optimizer" sheetId="3" r:id="rId3"/>
    <sheet name="Equal Weigh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4" l="1"/>
  <c r="C12" i="4"/>
  <c r="C11" i="3"/>
  <c r="C13" i="4"/>
  <c r="C9" i="4"/>
  <c r="C10" i="3"/>
  <c r="C8" i="3"/>
  <c r="F17" i="2" a="1"/>
  <c r="F17" i="2"/>
  <c r="E17" i="2"/>
  <c r="D17" i="2"/>
  <c r="C17" i="2"/>
  <c r="B17" i="2"/>
  <c r="F16" i="2" a="1"/>
  <c r="F16" i="2"/>
  <c r="E16" i="2" a="1"/>
  <c r="E16" i="2"/>
  <c r="D16" i="2"/>
  <c r="C16" i="2"/>
  <c r="B16" i="2"/>
  <c r="F15" i="2" a="1"/>
  <c r="F15" i="2"/>
  <c r="E15" i="2" a="1"/>
  <c r="E15" i="2" s="1"/>
  <c r="D15" i="2" a="1"/>
  <c r="D15" i="2" s="1"/>
  <c r="C15" i="2"/>
  <c r="B15" i="2"/>
  <c r="F14" i="2" a="1"/>
  <c r="F14" i="2" s="1"/>
  <c r="E14" i="2" a="1"/>
  <c r="E14" i="2" s="1"/>
  <c r="D14" i="2" a="1"/>
  <c r="D14" i="2"/>
  <c r="C14" i="2" a="1"/>
  <c r="C14" i="2" s="1"/>
  <c r="B14" i="2"/>
  <c r="F13" i="2" a="1"/>
  <c r="F13" i="2"/>
  <c r="E13" i="2" a="1"/>
  <c r="E13" i="2"/>
  <c r="D13" i="2" a="1"/>
  <c r="D13" i="2"/>
  <c r="C13" i="2" a="1"/>
  <c r="C13" i="2"/>
  <c r="B13" i="2" a="1"/>
  <c r="B13" i="2"/>
  <c r="D7" i="2"/>
  <c r="D6" i="2"/>
  <c r="D8" i="2"/>
  <c r="C8" i="2"/>
  <c r="E8" i="2" s="1"/>
  <c r="C7" i="2"/>
  <c r="E7" i="2" s="1"/>
  <c r="C6" i="2"/>
  <c r="E6" i="2" s="1"/>
  <c r="D5" i="2"/>
  <c r="C5" i="2"/>
  <c r="E5" i="2" s="1"/>
  <c r="D4" i="2"/>
  <c r="C4" i="2"/>
  <c r="E4" i="2" s="1"/>
  <c r="C1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<sst xmlns="http://schemas.openxmlformats.org/spreadsheetml/2006/main" count="57" uniqueCount="25">
  <si>
    <t>Date</t>
  </si>
  <si>
    <t>9CI.SI</t>
  </si>
  <si>
    <t>C6L.SI</t>
  </si>
  <si>
    <t>D05.SI</t>
  </si>
  <si>
    <t>S63.SI</t>
  </si>
  <si>
    <t>Z74.SI</t>
  </si>
  <si>
    <t>Ticker</t>
  </si>
  <si>
    <t>Company</t>
  </si>
  <si>
    <t>Annual Return</t>
  </si>
  <si>
    <t>Annual Volatility</t>
  </si>
  <si>
    <t>Sharpe Ratio</t>
  </si>
  <si>
    <t>CapitaLand Investment</t>
  </si>
  <si>
    <t>Singapore Airlines</t>
  </si>
  <si>
    <t>DBS Group</t>
  </si>
  <si>
    <t>ST Engineering</t>
  </si>
  <si>
    <t>Singtel</t>
  </si>
  <si>
    <t>Covariance Matrix</t>
  </si>
  <si>
    <t>Optimized</t>
  </si>
  <si>
    <t>Weight</t>
  </si>
  <si>
    <t>Total Weight:</t>
  </si>
  <si>
    <t>Total Annual Return:</t>
  </si>
  <si>
    <t>Total Annual Volatility:</t>
  </si>
  <si>
    <t>Sharpe Ratio:</t>
  </si>
  <si>
    <t>Final weights: DBS 60%, ST Engineering 20%, Singtel 20%.</t>
  </si>
  <si>
    <t>Equal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</si>
</sst>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2"/>
      <color theme="1"/>
      <name val="新細明體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b/>
      <sz val="8"/>
      <color rgb="FF000000"/>
      <name val="Calibri"/>
      <scheme val="minor"/>
    </font>
    <font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0" borderId="1" xfId="0" applyFont="1" applyBorder="1" applyAlignment="1">
      <alignment wrapText="1"/>
    </xf>
    <xf numFmtId="11" fontId="6" fillId="0" borderId="1" xfId="0" applyNumberFormat="1" applyFont="1" applyBorder="1" applyAlignment="1">
      <alignment wrapText="1"/>
    </xf>
    <xf numFmtId="22" fontId="5" fillId="3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2" fillId="0" borderId="0" xfId="0" applyFont="1" applyAlignment="1"/>
    <xf numFmtId="10" fontId="2" fillId="0" borderId="0" xfId="0" applyNumberFormat="1" applyFont="1" applyAlignment="1"/>
    <xf numFmtId="0" fontId="2" fillId="0" borderId="0" xfId="0" applyNumberFormat="1" applyFont="1" applyAlignment="1"/>
    <xf numFmtId="176" fontId="2" fillId="0" borderId="0" xfId="0" applyNumberFormat="1" applyFont="1" applyAlignme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7"/>
  <sheetViews>
    <sheetView workbookViewId="0">
      <selection activeCell="H9" sqref="H9"/>
    </sheetView>
  </sheetViews>
  <sheetFormatPr defaultRowHeight="15.75"/>
  <cols>
    <col min="1" max="1" width="18.125" style="8" customWidth="1"/>
    <col min="2" max="16384" width="9" style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7">
        <v>45294</v>
      </c>
      <c r="B2" s="5">
        <v>-1.6025609073756199E-2</v>
      </c>
      <c r="C2" s="5">
        <v>-1.83486276596001E-2</v>
      </c>
      <c r="D2" s="5">
        <v>-1.0817333555763E-2</v>
      </c>
      <c r="E2" s="5">
        <v>-1.79948603067017E-2</v>
      </c>
      <c r="F2" s="5">
        <v>-8.1632282340187191E-3</v>
      </c>
    </row>
    <row r="3" spans="1:6">
      <c r="A3" s="7">
        <v>45295</v>
      </c>
      <c r="B3" s="5">
        <v>-2.2801324839914001E-2</v>
      </c>
      <c r="C3" s="5">
        <v>-9.3457541023820295E-3</v>
      </c>
      <c r="D3" s="5">
        <v>-5.4678508158453303E-3</v>
      </c>
      <c r="E3" s="5">
        <v>-5.23555464008008E-3</v>
      </c>
      <c r="F3" s="5">
        <v>-2.05760901039557E-2</v>
      </c>
    </row>
    <row r="4" spans="1:6">
      <c r="A4" s="7">
        <v>45296</v>
      </c>
      <c r="B4" s="5">
        <v>0</v>
      </c>
      <c r="C4" s="5">
        <v>4.7168326134943202E-3</v>
      </c>
      <c r="D4" s="5">
        <v>4.8870910756515498E-3</v>
      </c>
      <c r="E4" s="5">
        <v>-5.2631774319551504E-3</v>
      </c>
      <c r="F4" s="5">
        <v>-1.2605144970290199E-2</v>
      </c>
    </row>
    <row r="5" spans="1:6">
      <c r="A5" s="7">
        <v>45299</v>
      </c>
      <c r="B5" s="5">
        <v>3.3333615034034599E-3</v>
      </c>
      <c r="C5" s="5">
        <v>0</v>
      </c>
      <c r="D5" s="5">
        <v>-1.5198485670642201E-3</v>
      </c>
      <c r="E5" s="5">
        <v>1.32274947394733E-2</v>
      </c>
      <c r="F5" s="5">
        <v>8.5105998561776398E-3</v>
      </c>
    </row>
    <row r="6" spans="1:6">
      <c r="A6" s="7">
        <v>45300</v>
      </c>
      <c r="B6" s="5">
        <v>1.32889748087102E-2</v>
      </c>
      <c r="C6" s="5">
        <v>6.2598961374786804E-3</v>
      </c>
      <c r="D6" s="5">
        <v>6.0899782649626001E-4</v>
      </c>
      <c r="E6" s="5">
        <v>-2.61097584845671E-3</v>
      </c>
      <c r="F6" s="5">
        <v>8.4388886922302005E-3</v>
      </c>
    </row>
    <row r="7" spans="1:6">
      <c r="A7" s="7">
        <v>45301</v>
      </c>
      <c r="B7" s="5">
        <v>-1.31146939709068E-2</v>
      </c>
      <c r="C7" s="5">
        <v>1.71073059428173E-2</v>
      </c>
      <c r="D7" s="5">
        <v>-1.09523349873331E-2</v>
      </c>
      <c r="E7" s="5">
        <v>2.61781088946478E-3</v>
      </c>
      <c r="F7" s="5">
        <v>-4.1840278781084504E-3</v>
      </c>
    </row>
    <row r="8" spans="1:6">
      <c r="A8" s="7">
        <v>45302</v>
      </c>
      <c r="B8" s="5">
        <v>6.6444005698773597E-3</v>
      </c>
      <c r="C8" s="5">
        <v>4.5870946804389403E-3</v>
      </c>
      <c r="D8" s="5">
        <v>6.4595974420869097E-3</v>
      </c>
      <c r="E8" s="5">
        <v>1.0443769466723001E-2</v>
      </c>
      <c r="F8" s="5">
        <v>0</v>
      </c>
    </row>
    <row r="9" spans="1:6">
      <c r="A9" s="7">
        <v>45303</v>
      </c>
      <c r="B9" s="5">
        <v>-9.9009021295418699E-3</v>
      </c>
      <c r="C9" s="5">
        <v>-7.6103039355531798E-3</v>
      </c>
      <c r="D9" s="5">
        <v>-3.3619423144295398E-3</v>
      </c>
      <c r="E9" s="5">
        <v>2.5840555317457898E-3</v>
      </c>
      <c r="F9" s="5">
        <v>1.26050375013032E-2</v>
      </c>
    </row>
    <row r="10" spans="1:6">
      <c r="A10" s="7">
        <v>45306</v>
      </c>
      <c r="B10" s="5">
        <v>0</v>
      </c>
      <c r="C10" s="5">
        <v>1.53383284168496E-3</v>
      </c>
      <c r="D10" s="5">
        <v>2.1465467210950401E-3</v>
      </c>
      <c r="E10" s="5">
        <v>-2.57739539890767E-3</v>
      </c>
      <c r="F10" s="5">
        <v>8.29871687379935E-3</v>
      </c>
    </row>
    <row r="11" spans="1:6">
      <c r="A11" s="7">
        <v>45307</v>
      </c>
      <c r="B11" s="5">
        <v>9.9999102623535806E-3</v>
      </c>
      <c r="C11" s="5">
        <v>0</v>
      </c>
      <c r="D11" s="5">
        <v>-1.04038474409411E-2</v>
      </c>
      <c r="E11" s="5">
        <v>-2.5840555317456801E-3</v>
      </c>
      <c r="F11" s="5">
        <v>-4.1152601238693097E-3</v>
      </c>
    </row>
    <row r="12" spans="1:6">
      <c r="A12" s="7">
        <v>45308</v>
      </c>
      <c r="B12" s="5">
        <v>-2.31022487378028E-2</v>
      </c>
      <c r="C12" s="5">
        <v>-1.0719804866292299E-2</v>
      </c>
      <c r="D12" s="5">
        <v>-1.57699507475689E-2</v>
      </c>
      <c r="E12" s="5">
        <v>-7.7718518634670702E-3</v>
      </c>
      <c r="F12" s="5">
        <v>-8.2644252497200404E-3</v>
      </c>
    </row>
    <row r="13" spans="1:6">
      <c r="A13" s="7">
        <v>45309</v>
      </c>
      <c r="B13" s="5">
        <v>3.3784070166316101E-3</v>
      </c>
      <c r="C13" s="5">
        <v>-6.1919795937191999E-3</v>
      </c>
      <c r="D13" s="5">
        <v>2.5132904130180699E-3</v>
      </c>
      <c r="E13" s="5">
        <v>-1.30548122787315E-2</v>
      </c>
      <c r="F13" s="5">
        <v>-4.1667008589710798E-3</v>
      </c>
    </row>
    <row r="14" spans="1:6">
      <c r="A14" s="7">
        <v>45310</v>
      </c>
      <c r="B14" s="5">
        <v>3.3669438087624601E-3</v>
      </c>
      <c r="C14" s="5">
        <v>1.2461033646608201E-2</v>
      </c>
      <c r="D14" s="5">
        <v>4.3873459482113297E-3</v>
      </c>
      <c r="E14" s="5">
        <v>1.32274947394733E-2</v>
      </c>
      <c r="F14" s="5">
        <v>4.1841348974422897E-3</v>
      </c>
    </row>
    <row r="15" spans="1:6">
      <c r="A15" s="7">
        <v>45313</v>
      </c>
      <c r="B15" s="5">
        <v>-2.0134136358720699E-2</v>
      </c>
      <c r="C15" s="5">
        <v>3.0769377197714699E-3</v>
      </c>
      <c r="D15" s="5">
        <v>-4.6800156333790498E-3</v>
      </c>
      <c r="E15" s="5">
        <v>7.8327266547144597E-3</v>
      </c>
      <c r="F15" s="5">
        <v>-4.1667008589710798E-3</v>
      </c>
    </row>
    <row r="16" spans="1:6">
      <c r="A16" s="7">
        <v>45314</v>
      </c>
      <c r="B16" s="5">
        <v>-1.3698655886692199E-2</v>
      </c>
      <c r="C16" s="5">
        <v>0</v>
      </c>
      <c r="D16" s="5">
        <v>-2.8214562172030901E-3</v>
      </c>
      <c r="E16" s="5">
        <v>-2.5905508447013901E-3</v>
      </c>
      <c r="F16" s="5">
        <v>-4.1840278781084504E-3</v>
      </c>
    </row>
    <row r="17" spans="1:6">
      <c r="A17" s="7">
        <v>45315</v>
      </c>
      <c r="B17" s="5">
        <v>2.0833327661202699E-2</v>
      </c>
      <c r="C17" s="5">
        <v>1.53383284168496E-3</v>
      </c>
      <c r="D17" s="5">
        <v>9.4317189034876002E-4</v>
      </c>
      <c r="E17" s="5">
        <v>5.1947583042788502E-3</v>
      </c>
      <c r="F17" s="5">
        <v>1.6806645022412699E-2</v>
      </c>
    </row>
    <row r="18" spans="1:6">
      <c r="A18" s="7">
        <v>45316</v>
      </c>
      <c r="B18" s="5">
        <v>-6.8026896401204304E-3</v>
      </c>
      <c r="C18" s="5">
        <v>1.6845241434332501E-2</v>
      </c>
      <c r="D18" s="5">
        <v>2.5125009387378899E-3</v>
      </c>
      <c r="E18" s="5">
        <v>-2.5840555317456801E-3</v>
      </c>
      <c r="F18" s="5">
        <v>-8.2644252497200404E-3</v>
      </c>
    </row>
    <row r="19" spans="1:6">
      <c r="A19" s="7">
        <v>45317</v>
      </c>
      <c r="B19" s="5">
        <v>0</v>
      </c>
      <c r="C19" s="5">
        <v>6.0240432120710601E-3</v>
      </c>
      <c r="D19" s="5">
        <v>5.6389972476169597E-3</v>
      </c>
      <c r="E19" s="5">
        <v>-1.5543836613176199E-2</v>
      </c>
      <c r="F19" s="5">
        <v>0</v>
      </c>
    </row>
    <row r="20" spans="1:6">
      <c r="A20" s="7">
        <v>45320</v>
      </c>
      <c r="B20" s="5">
        <v>1.0273969537298601E-2</v>
      </c>
      <c r="C20" s="5">
        <v>-2.9940263268616301E-3</v>
      </c>
      <c r="D20" s="5">
        <v>-6.5418771188273696E-3</v>
      </c>
      <c r="E20" s="5">
        <v>-5.2631774319551504E-3</v>
      </c>
      <c r="F20" s="5">
        <v>0</v>
      </c>
    </row>
    <row r="21" spans="1:6">
      <c r="A21" s="7">
        <v>45321</v>
      </c>
      <c r="B21" s="5">
        <v>6.77962948114153E-3</v>
      </c>
      <c r="C21" s="5">
        <v>1.5015087200687101E-3</v>
      </c>
      <c r="D21" s="5">
        <v>-2.19516264924324E-3</v>
      </c>
      <c r="E21" s="5">
        <v>-1.0582050071028099E-2</v>
      </c>
      <c r="F21" s="5">
        <v>8.3332951445258506E-3</v>
      </c>
    </row>
    <row r="22" spans="1:6">
      <c r="A22" s="7">
        <v>45322</v>
      </c>
      <c r="B22" s="5">
        <v>-3.36703181273035E-3</v>
      </c>
      <c r="C22" s="5">
        <v>1.49925757175118E-3</v>
      </c>
      <c r="D22" s="5">
        <v>1.8856747235895799E-3</v>
      </c>
      <c r="E22" s="5">
        <v>-2.6738068759990501E-3</v>
      </c>
      <c r="F22" s="5">
        <v>-8.2644252497200404E-3</v>
      </c>
    </row>
    <row r="23" spans="1:6">
      <c r="A23" s="7">
        <v>45323</v>
      </c>
      <c r="B23" s="5">
        <v>-1.6891858480596399E-2</v>
      </c>
      <c r="C23" s="5">
        <v>1.0479010903816E-2</v>
      </c>
      <c r="D23" s="5">
        <v>-1.5683999655206099E-3</v>
      </c>
      <c r="E23" s="5">
        <v>2.6809752861536298E-3</v>
      </c>
      <c r="F23" s="5">
        <v>4.1667008589709696E-3</v>
      </c>
    </row>
    <row r="24" spans="1:6">
      <c r="A24" s="7">
        <v>45324</v>
      </c>
      <c r="B24" s="5">
        <v>1.7182096014879598E-2</v>
      </c>
      <c r="C24" s="5">
        <v>1.3333397651502399E-2</v>
      </c>
      <c r="D24" s="5">
        <v>1.2252691163252999E-2</v>
      </c>
      <c r="E24" s="5">
        <v>1.6042841255994499E-2</v>
      </c>
      <c r="F24" s="5">
        <v>1.24480222450993E-2</v>
      </c>
    </row>
    <row r="25" spans="1:6">
      <c r="A25" s="7">
        <v>45327</v>
      </c>
      <c r="B25" s="5">
        <v>-3.04053982458421E-2</v>
      </c>
      <c r="C25" s="5">
        <v>0</v>
      </c>
      <c r="D25" s="5">
        <v>-1.1483700458186301E-2</v>
      </c>
      <c r="E25" s="5">
        <v>-1.31580110720969E-2</v>
      </c>
      <c r="F25" s="5">
        <v>-2.4590053093482299E-2</v>
      </c>
    </row>
    <row r="26" spans="1:6">
      <c r="A26" s="7">
        <v>45328</v>
      </c>
      <c r="B26" s="5">
        <v>-1.04530502042388E-2</v>
      </c>
      <c r="C26" s="5">
        <v>-1.4619952637288101E-3</v>
      </c>
      <c r="D26" s="5">
        <v>-6.2793570766393999E-3</v>
      </c>
      <c r="E26" s="5">
        <v>8.0000990317796693E-3</v>
      </c>
      <c r="F26" s="5">
        <v>-1.6806859960386899E-2</v>
      </c>
    </row>
    <row r="27" spans="1:6">
      <c r="A27" s="7">
        <v>45329</v>
      </c>
      <c r="B27" s="5">
        <v>1.7605784489552301E-2</v>
      </c>
      <c r="C27" s="5">
        <v>0</v>
      </c>
      <c r="D27" s="5">
        <v>2.5276376355515901E-2</v>
      </c>
      <c r="E27" s="5">
        <v>2.6455125177569099E-3</v>
      </c>
      <c r="F27" s="5">
        <v>1.2820510017792899E-2</v>
      </c>
    </row>
    <row r="28" spans="1:6">
      <c r="A28" s="7">
        <v>45330</v>
      </c>
      <c r="B28" s="5">
        <v>-1.38409468640226E-2</v>
      </c>
      <c r="C28" s="5">
        <v>-5.8565432934720701E-3</v>
      </c>
      <c r="D28" s="5">
        <v>3.0828977053998197E-4</v>
      </c>
      <c r="E28" s="5">
        <v>-7.9155967430019104E-3</v>
      </c>
      <c r="F28" s="5">
        <v>-1.2658225115887101E-2</v>
      </c>
    </row>
    <row r="29" spans="1:6">
      <c r="A29" s="7">
        <v>45331</v>
      </c>
      <c r="B29" s="5">
        <v>0</v>
      </c>
      <c r="C29" s="5">
        <v>1.47276111258488E-3</v>
      </c>
      <c r="D29" s="5">
        <v>2.46458583478271E-3</v>
      </c>
      <c r="E29" s="5">
        <v>2.6595162354292601E-3</v>
      </c>
      <c r="F29" s="5">
        <v>0</v>
      </c>
    </row>
    <row r="30" spans="1:6">
      <c r="A30" s="7">
        <v>45335</v>
      </c>
      <c r="B30" s="5">
        <v>0</v>
      </c>
      <c r="C30" s="5">
        <v>4.2647103421306697E-2</v>
      </c>
      <c r="D30" s="5">
        <v>-1.53658844093385E-3</v>
      </c>
      <c r="E30" s="5">
        <v>5.3051280273799196E-3</v>
      </c>
      <c r="F30" s="5">
        <v>-4.2734304685448903E-3</v>
      </c>
    </row>
    <row r="31" spans="1:6">
      <c r="A31" s="7">
        <v>45336</v>
      </c>
      <c r="B31" s="5">
        <v>-7.0175120026977301E-3</v>
      </c>
      <c r="C31" s="5">
        <v>7.0520665602167298E-3</v>
      </c>
      <c r="D31" s="5">
        <v>2.4623101422893701E-3</v>
      </c>
      <c r="E31" s="5">
        <v>1.0554061320380099E-2</v>
      </c>
      <c r="F31" s="5">
        <v>8.5836518826556407E-3</v>
      </c>
    </row>
    <row r="32" spans="1:6">
      <c r="A32" s="7">
        <v>45337</v>
      </c>
      <c r="B32" s="5">
        <v>3.5335065714225998E-3</v>
      </c>
      <c r="C32" s="5">
        <v>1.26051793390103E-2</v>
      </c>
      <c r="D32" s="5">
        <v>2.33343032667876E-2</v>
      </c>
      <c r="E32" s="5">
        <v>1.30548122787315E-2</v>
      </c>
      <c r="F32" s="5">
        <v>0</v>
      </c>
    </row>
    <row r="33" spans="1:6">
      <c r="A33" s="7">
        <v>45338</v>
      </c>
      <c r="B33" s="5">
        <v>3.5211384914447301E-2</v>
      </c>
      <c r="C33" s="5">
        <v>1.24481165845434E-2</v>
      </c>
      <c r="D33" s="5">
        <v>1.6201549360012502E-2</v>
      </c>
      <c r="E33" s="5">
        <v>7.73198789486118E-3</v>
      </c>
      <c r="F33" s="5">
        <v>1.2766063045681E-2</v>
      </c>
    </row>
    <row r="34" spans="1:6">
      <c r="A34" s="7">
        <v>45341</v>
      </c>
      <c r="B34" s="5">
        <v>-2.04081578223285E-2</v>
      </c>
      <c r="C34" s="5">
        <v>-2.7322534010453302E-3</v>
      </c>
      <c r="D34" s="5">
        <v>7.6764006816969496E-3</v>
      </c>
      <c r="E34" s="5">
        <v>-2.5576199127029802E-3</v>
      </c>
      <c r="F34" s="5">
        <v>-4.20182245908385E-3</v>
      </c>
    </row>
    <row r="35" spans="1:6">
      <c r="A35" s="7">
        <v>45342</v>
      </c>
      <c r="B35" s="5">
        <v>1.38889153588322E-2</v>
      </c>
      <c r="C35" s="5">
        <v>9.5890123781134894E-3</v>
      </c>
      <c r="D35" s="5">
        <v>1.1720318407435499E-3</v>
      </c>
      <c r="E35" s="5">
        <v>5.1282904497253999E-3</v>
      </c>
      <c r="F35" s="5">
        <v>8.4388886922302005E-3</v>
      </c>
    </row>
    <row r="36" spans="1:6">
      <c r="A36" s="7">
        <v>45343</v>
      </c>
      <c r="B36" s="5">
        <v>-1.7123342236085699E-2</v>
      </c>
      <c r="C36" s="5">
        <v>-9.4979660007036504E-2</v>
      </c>
      <c r="D36" s="5">
        <v>-6.4383446708586901E-3</v>
      </c>
      <c r="E36" s="5">
        <v>0</v>
      </c>
      <c r="F36" s="5">
        <v>-8.3682697948845898E-3</v>
      </c>
    </row>
    <row r="37" spans="1:6">
      <c r="A37" s="7">
        <v>45344</v>
      </c>
      <c r="B37" s="5">
        <v>1.04529591339286E-2</v>
      </c>
      <c r="C37" s="5">
        <v>-1.19938978500092E-2</v>
      </c>
      <c r="D37" s="5">
        <v>0</v>
      </c>
      <c r="E37" s="5">
        <v>1.5306179529933E-2</v>
      </c>
      <c r="F37" s="5">
        <v>8.4388886922302005E-3</v>
      </c>
    </row>
    <row r="38" spans="1:6">
      <c r="A38" s="7">
        <v>45345</v>
      </c>
      <c r="B38" s="5">
        <v>-4.1379390527850203E-2</v>
      </c>
      <c r="C38" s="5">
        <v>-6.0698312226558099E-3</v>
      </c>
      <c r="D38" s="5">
        <v>-3.5346657230023201E-3</v>
      </c>
      <c r="E38" s="5">
        <v>-2.5126364826800799E-3</v>
      </c>
      <c r="F38" s="5">
        <v>-8.3682697948845898E-3</v>
      </c>
    </row>
    <row r="39" spans="1:6">
      <c r="A39" s="7">
        <v>45348</v>
      </c>
      <c r="B39" s="5">
        <v>-3.5969650407679001E-3</v>
      </c>
      <c r="C39" s="5">
        <v>-6.10689906930018E-3</v>
      </c>
      <c r="D39" s="5">
        <v>-9.7546851572195593E-3</v>
      </c>
      <c r="E39" s="5">
        <v>0</v>
      </c>
      <c r="F39" s="5">
        <v>-1.2658225115887101E-2</v>
      </c>
    </row>
    <row r="40" spans="1:6">
      <c r="A40" s="7">
        <v>45349</v>
      </c>
      <c r="B40" s="5">
        <v>-1.0830415861360101E-2</v>
      </c>
      <c r="C40" s="5">
        <v>0</v>
      </c>
      <c r="D40" s="5">
        <v>0</v>
      </c>
      <c r="E40" s="5">
        <v>2.5189657278665801E-3</v>
      </c>
      <c r="F40" s="5">
        <v>-4.2734304685448903E-3</v>
      </c>
    </row>
    <row r="41" spans="1:6">
      <c r="A41" s="7">
        <v>45350</v>
      </c>
      <c r="B41" s="5">
        <v>1.45984733025404E-2</v>
      </c>
      <c r="C41" s="5">
        <v>-9.2166336554428997E-3</v>
      </c>
      <c r="D41" s="5">
        <v>-1.49241012169288E-3</v>
      </c>
      <c r="E41" s="5">
        <v>0</v>
      </c>
      <c r="F41" s="5">
        <v>4.2917710537297999E-3</v>
      </c>
    </row>
    <row r="42" spans="1:6">
      <c r="A42" s="7">
        <v>45351</v>
      </c>
      <c r="B42" s="5">
        <v>0</v>
      </c>
      <c r="C42" s="5">
        <v>3.1007900645483302E-3</v>
      </c>
      <c r="D42" s="5">
        <v>-3.5875006377351598E-3</v>
      </c>
      <c r="E42" s="5">
        <v>0</v>
      </c>
      <c r="F42" s="5">
        <v>4.27353977462408E-3</v>
      </c>
    </row>
    <row r="43" spans="1:6">
      <c r="A43" s="7">
        <v>45352</v>
      </c>
      <c r="B43" s="5">
        <v>-2.5179695471752101E-2</v>
      </c>
      <c r="C43" s="5">
        <v>-1.5455185665210799E-3</v>
      </c>
      <c r="D43" s="5">
        <v>6.6005341083677001E-3</v>
      </c>
      <c r="E43" s="5">
        <v>-2.5126364826800799E-3</v>
      </c>
      <c r="F43" s="5">
        <v>-4.2553543485602799E-3</v>
      </c>
    </row>
    <row r="44" spans="1:6">
      <c r="A44" s="7">
        <v>45355</v>
      </c>
      <c r="B44" s="5">
        <v>-7.3801357262127699E-3</v>
      </c>
      <c r="C44" s="5">
        <v>-7.7400584990354702E-3</v>
      </c>
      <c r="D44" s="5">
        <v>-3.8746284303040599E-3</v>
      </c>
      <c r="E44" s="5">
        <v>-5.0378022515000804E-3</v>
      </c>
      <c r="F44" s="5">
        <v>-4.2734304685448903E-3</v>
      </c>
    </row>
    <row r="45" spans="1:6">
      <c r="A45" s="7">
        <v>45356</v>
      </c>
      <c r="B45" s="5">
        <v>-1.85873233906469E-2</v>
      </c>
      <c r="C45" s="5">
        <v>-7.8001803304364997E-3</v>
      </c>
      <c r="D45" s="5">
        <v>-5.9846560653242797E-4</v>
      </c>
      <c r="E45" s="5">
        <v>-7.5949003813747798E-3</v>
      </c>
      <c r="F45" s="5">
        <v>-8.5837616578513503E-3</v>
      </c>
    </row>
    <row r="46" spans="1:6">
      <c r="A46" s="7">
        <v>45357</v>
      </c>
      <c r="B46" s="5">
        <v>1.8939355312653599E-2</v>
      </c>
      <c r="C46" s="5">
        <v>2.3584845689459601E-2</v>
      </c>
      <c r="D46" s="5">
        <v>5.6886461257710198E-3</v>
      </c>
      <c r="E46" s="5">
        <v>1.0204119686622E-2</v>
      </c>
      <c r="F46" s="5">
        <v>1.2987010111022299E-2</v>
      </c>
    </row>
    <row r="47" spans="1:6">
      <c r="A47" s="7">
        <v>45358</v>
      </c>
      <c r="B47" s="5">
        <v>-3.7175035438225001E-3</v>
      </c>
      <c r="C47" s="5">
        <v>-1.2288761512247399E-2</v>
      </c>
      <c r="D47" s="5">
        <v>5.6563239372513499E-3</v>
      </c>
      <c r="E47" s="5">
        <v>5.0505236950466603E-3</v>
      </c>
      <c r="F47" s="5">
        <v>1.2820510017792899E-2</v>
      </c>
    </row>
    <row r="48" spans="1:6">
      <c r="A48" s="7">
        <v>45359</v>
      </c>
      <c r="B48" s="5">
        <v>7.4627498867958497E-3</v>
      </c>
      <c r="C48" s="5">
        <v>-7.7760865189321401E-3</v>
      </c>
      <c r="D48" s="5">
        <v>-8.8809563779612699E-4</v>
      </c>
      <c r="E48" s="5">
        <v>0</v>
      </c>
      <c r="F48" s="5">
        <v>4.21955226857329E-3</v>
      </c>
    </row>
    <row r="49" spans="1:6">
      <c r="A49" s="7">
        <v>45362</v>
      </c>
      <c r="B49" s="5">
        <v>-1.1111107884299001E-2</v>
      </c>
      <c r="C49" s="5">
        <v>-6.2695372806401703E-3</v>
      </c>
      <c r="D49" s="5">
        <v>-4.4442814078592399E-3</v>
      </c>
      <c r="E49" s="5">
        <v>-2.5126364826800799E-3</v>
      </c>
      <c r="F49" s="5">
        <v>0</v>
      </c>
    </row>
    <row r="50" spans="1:6">
      <c r="A50" s="7">
        <v>45363</v>
      </c>
      <c r="B50" s="5">
        <v>1.4981301639280801E-2</v>
      </c>
      <c r="C50" s="5">
        <v>3.15458898369325E-3</v>
      </c>
      <c r="D50" s="5">
        <v>-2.9763698085299999E-3</v>
      </c>
      <c r="E50" s="5">
        <v>0</v>
      </c>
      <c r="F50" s="5">
        <v>4.2016075211095396E-3</v>
      </c>
    </row>
    <row r="51" spans="1:6">
      <c r="A51" s="7">
        <v>45364</v>
      </c>
      <c r="B51" s="5">
        <v>0</v>
      </c>
      <c r="C51" s="5">
        <v>4.7168326134943202E-3</v>
      </c>
      <c r="D51" s="5">
        <v>1.28358864814673E-2</v>
      </c>
      <c r="E51" s="5">
        <v>0</v>
      </c>
      <c r="F51" s="5">
        <v>3.76568930189791E-2</v>
      </c>
    </row>
    <row r="52" spans="1:6">
      <c r="A52" s="7">
        <v>45365</v>
      </c>
      <c r="B52" s="5">
        <v>7.3799428319178996E-3</v>
      </c>
      <c r="C52" s="5">
        <v>4.6949433348992802E-3</v>
      </c>
      <c r="D52" s="5">
        <v>2.0336040193006201E-2</v>
      </c>
      <c r="E52" s="5">
        <v>2.5189657278665801E-3</v>
      </c>
      <c r="F52" s="5">
        <v>0</v>
      </c>
    </row>
    <row r="53" spans="1:6">
      <c r="A53" s="7">
        <v>45366</v>
      </c>
      <c r="B53" s="5">
        <v>-2.1977922029057101E-2</v>
      </c>
      <c r="C53" s="5">
        <v>-6.2305590884523801E-3</v>
      </c>
      <c r="D53" s="5">
        <v>1.44412863017429E-3</v>
      </c>
      <c r="E53" s="5">
        <v>-1.0050352611335699E-2</v>
      </c>
      <c r="F53" s="5">
        <v>0</v>
      </c>
    </row>
    <row r="54" spans="1:6">
      <c r="A54" s="7">
        <v>45369</v>
      </c>
      <c r="B54" s="5">
        <v>0</v>
      </c>
      <c r="C54" s="5">
        <v>-3.1347261101853899E-3</v>
      </c>
      <c r="D54" s="5">
        <v>6.6340423714395004E-3</v>
      </c>
      <c r="E54" s="5">
        <v>-5.0760962027016597E-3</v>
      </c>
      <c r="F54" s="5">
        <v>4.03218819848572E-3</v>
      </c>
    </row>
    <row r="55" spans="1:6">
      <c r="A55" s="7">
        <v>45370</v>
      </c>
      <c r="B55" s="5">
        <v>-3.74534988283304E-3</v>
      </c>
      <c r="C55" s="5">
        <v>-6.2894230197371196E-3</v>
      </c>
      <c r="D55" s="5">
        <v>2.29227680437072E-3</v>
      </c>
      <c r="E55" s="5">
        <v>-2.5510299216554601E-3</v>
      </c>
      <c r="F55" s="5">
        <v>8.0321953448314592E-3</v>
      </c>
    </row>
    <row r="56" spans="1:6">
      <c r="A56" s="7">
        <v>45371</v>
      </c>
      <c r="B56" s="5">
        <v>3.7594302645338499E-3</v>
      </c>
      <c r="C56" s="5">
        <v>7.9115163155702994E-3</v>
      </c>
      <c r="D56" s="5">
        <v>-1.14355184371184E-3</v>
      </c>
      <c r="E56" s="5">
        <v>2.5575543192502001E-3</v>
      </c>
      <c r="F56" s="5">
        <v>3.9839947271378398E-3</v>
      </c>
    </row>
    <row r="57" spans="1:6">
      <c r="A57" s="7">
        <v>45372</v>
      </c>
      <c r="B57" s="5">
        <v>2.62171555036772E-2</v>
      </c>
      <c r="C57" s="5">
        <v>4.70951301181866E-3</v>
      </c>
      <c r="D57" s="5">
        <v>2.0606873626807701E-2</v>
      </c>
      <c r="E57" s="5">
        <v>1.2755084182155501E-2</v>
      </c>
      <c r="F57" s="5">
        <v>3.9682869955448598E-3</v>
      </c>
    </row>
    <row r="58" spans="1:6">
      <c r="A58" s="7">
        <v>45373</v>
      </c>
      <c r="B58" s="5">
        <v>-3.6496660212181902E-3</v>
      </c>
      <c r="C58" s="5">
        <v>3.1250148390296099E-3</v>
      </c>
      <c r="D58" s="5">
        <v>4.7671796279382698E-3</v>
      </c>
      <c r="E58" s="5">
        <v>5.0378022515000804E-3</v>
      </c>
      <c r="F58" s="5">
        <v>0</v>
      </c>
    </row>
    <row r="59" spans="1:6">
      <c r="A59" s="7">
        <v>45376</v>
      </c>
      <c r="B59" s="5">
        <v>-1.46519480193714E-2</v>
      </c>
      <c r="C59" s="5">
        <v>-6.2305590884523801E-3</v>
      </c>
      <c r="D59" s="5">
        <v>-9.2101864842737396E-3</v>
      </c>
      <c r="E59" s="5">
        <v>0</v>
      </c>
      <c r="F59" s="5">
        <v>-7.9051027760414002E-3</v>
      </c>
    </row>
    <row r="60" spans="1:6">
      <c r="A60" s="7">
        <v>45377</v>
      </c>
      <c r="B60" s="5">
        <v>1.8587323390647101E-2</v>
      </c>
      <c r="C60" s="5">
        <v>6.2696223409095496E-3</v>
      </c>
      <c r="D60" s="5">
        <v>1.6338002626832299E-2</v>
      </c>
      <c r="E60" s="5">
        <v>1.00250357531948E-2</v>
      </c>
      <c r="F60" s="5">
        <v>7.9680913571484897E-3</v>
      </c>
    </row>
    <row r="61" spans="1:6">
      <c r="A61" s="7">
        <v>45378</v>
      </c>
      <c r="B61" s="5">
        <v>3.6496660212181902E-3</v>
      </c>
      <c r="C61" s="5">
        <v>-1.5577243024095201E-3</v>
      </c>
      <c r="D61" s="5">
        <v>1.5243948593447699E-2</v>
      </c>
      <c r="E61" s="5">
        <v>-2.4815261758277499E-3</v>
      </c>
      <c r="F61" s="5">
        <v>3.9526019366809004E-3</v>
      </c>
    </row>
    <row r="62" spans="1:6">
      <c r="A62" s="7">
        <v>45379</v>
      </c>
      <c r="B62" s="5">
        <v>-2.5454570684483299E-2</v>
      </c>
      <c r="C62" s="5">
        <v>-1.55998526878121E-3</v>
      </c>
      <c r="D62" s="5">
        <v>-1.6380077279195399E-2</v>
      </c>
      <c r="E62" s="5">
        <v>0</v>
      </c>
      <c r="F62" s="5">
        <v>-3.9370403832373899E-3</v>
      </c>
    </row>
    <row r="63" spans="1:6">
      <c r="A63" s="7">
        <v>45383</v>
      </c>
      <c r="B63" s="5">
        <v>7.4627498867958497E-3</v>
      </c>
      <c r="C63" s="5">
        <v>4.6875222585443001E-3</v>
      </c>
      <c r="D63" s="5">
        <v>-3.3304087542789201E-3</v>
      </c>
      <c r="E63" s="5">
        <v>0</v>
      </c>
      <c r="F63" s="5">
        <v>3.9526019366809004E-3</v>
      </c>
    </row>
    <row r="64" spans="1:6">
      <c r="A64" s="7">
        <v>45384</v>
      </c>
      <c r="B64" s="5">
        <v>1.4814745976157199E-2</v>
      </c>
      <c r="C64" s="5">
        <v>6.22078481631228E-3</v>
      </c>
      <c r="D64" s="5">
        <v>8.0755962173497692E-3</v>
      </c>
      <c r="E64" s="5">
        <v>7.4628432070518204E-3</v>
      </c>
      <c r="F64" s="5">
        <v>0</v>
      </c>
    </row>
    <row r="65" spans="1:6">
      <c r="A65" s="7">
        <v>45385</v>
      </c>
      <c r="B65" s="5">
        <v>-1.82481393237587E-2</v>
      </c>
      <c r="C65" s="5">
        <v>1.5456024435733799E-3</v>
      </c>
      <c r="D65" s="5">
        <v>-3.0386162171789398E-3</v>
      </c>
      <c r="E65" s="5">
        <v>-9.8765801109674794E-3</v>
      </c>
      <c r="F65" s="5">
        <v>-4.3307041418426097E-2</v>
      </c>
    </row>
    <row r="66" spans="1:6">
      <c r="A66" s="7">
        <v>45386</v>
      </c>
      <c r="B66" s="5">
        <v>1.4869819846824501E-2</v>
      </c>
      <c r="C66" s="5">
        <v>-9.2592197117758995E-3</v>
      </c>
      <c r="D66" s="5">
        <v>6.3729510553727203E-3</v>
      </c>
      <c r="E66" s="5">
        <v>4.9875499925424701E-3</v>
      </c>
      <c r="F66" s="5">
        <v>-8.2304149900431795E-3</v>
      </c>
    </row>
    <row r="67" spans="1:6">
      <c r="A67" s="7">
        <v>45387</v>
      </c>
      <c r="B67" s="5">
        <v>-3.66293913454918E-3</v>
      </c>
      <c r="C67" s="5">
        <v>-1.5577243024095201E-3</v>
      </c>
      <c r="D67" s="5">
        <v>-7.8255606195214399E-3</v>
      </c>
      <c r="E67" s="5">
        <v>-9.9255319406205099E-3</v>
      </c>
      <c r="F67" s="5">
        <v>-4.1494115024993698E-3</v>
      </c>
    </row>
    <row r="68" spans="1:6">
      <c r="A68" s="7">
        <v>45390</v>
      </c>
      <c r="B68" s="5">
        <v>-3.67640558443882E-3</v>
      </c>
      <c r="C68" s="5">
        <v>-3.1201398619159501E-3</v>
      </c>
      <c r="D68" s="5">
        <v>1.4083423502004901E-3</v>
      </c>
      <c r="E68" s="5">
        <v>-2.5062107295772398E-3</v>
      </c>
      <c r="F68" s="5">
        <v>4.1667008589709696E-3</v>
      </c>
    </row>
    <row r="69" spans="1:6">
      <c r="A69" s="7">
        <v>45391</v>
      </c>
      <c r="B69" s="5">
        <v>7.3799428319178996E-3</v>
      </c>
      <c r="C69" s="5">
        <v>1.4084575223214201E-2</v>
      </c>
      <c r="D69" s="5">
        <v>6.7510878348433501E-3</v>
      </c>
      <c r="E69" s="5">
        <v>2.5125076030903001E-3</v>
      </c>
      <c r="F69" s="5">
        <v>-4.1494115024993698E-3</v>
      </c>
    </row>
    <row r="70" spans="1:6">
      <c r="A70" s="7">
        <v>45393</v>
      </c>
      <c r="B70" s="5">
        <v>-1.46519480193714E-2</v>
      </c>
      <c r="C70" s="5">
        <v>-3.0863507388507699E-3</v>
      </c>
      <c r="D70" s="5">
        <v>5.8674973681422903E-3</v>
      </c>
      <c r="E70" s="5">
        <v>7.5186321887319397E-3</v>
      </c>
      <c r="F70" s="5">
        <v>-4.1667008589710798E-3</v>
      </c>
    </row>
    <row r="71" spans="1:6">
      <c r="A71" s="7">
        <v>45394</v>
      </c>
      <c r="B71" s="5">
        <v>-3.7175035438225001E-3</v>
      </c>
      <c r="C71" s="5">
        <v>-3.0960738037461E-3</v>
      </c>
      <c r="D71" s="5">
        <v>3.33351579396024E-3</v>
      </c>
      <c r="E71" s="5">
        <v>-7.4625242139675398E-3</v>
      </c>
      <c r="F71" s="5">
        <v>-8.3682697948845898E-3</v>
      </c>
    </row>
    <row r="72" spans="1:6">
      <c r="A72" s="7">
        <v>45397</v>
      </c>
      <c r="B72" s="5">
        <v>-1.86566796634117E-2</v>
      </c>
      <c r="C72" s="5">
        <v>-1.8633545606694699E-2</v>
      </c>
      <c r="D72" s="5">
        <v>-1.3288967036261499E-2</v>
      </c>
      <c r="E72" s="5">
        <v>-1.7543860776812199E-2</v>
      </c>
      <c r="F72" s="5">
        <v>-8.4387807697719995E-3</v>
      </c>
    </row>
    <row r="73" spans="1:6">
      <c r="A73" s="7">
        <v>45398</v>
      </c>
      <c r="B73" s="5">
        <v>-3.8022836738537201E-2</v>
      </c>
      <c r="C73" s="5">
        <v>-1.5822860895525599E-2</v>
      </c>
      <c r="D73" s="5">
        <v>-2.8060225680226502E-3</v>
      </c>
      <c r="E73" s="5">
        <v>-1.2755215034399499E-2</v>
      </c>
      <c r="F73" s="5">
        <v>-1.27659542047379E-2</v>
      </c>
    </row>
    <row r="74" spans="1:6">
      <c r="A74" s="7">
        <v>45399</v>
      </c>
      <c r="B74" s="5">
        <v>-1.1857704651529501E-2</v>
      </c>
      <c r="C74" s="5">
        <v>0</v>
      </c>
      <c r="D74" s="5">
        <v>1.20990151016138E-2</v>
      </c>
      <c r="E74" s="5">
        <v>2.5840555317457898E-3</v>
      </c>
      <c r="F74" s="5">
        <v>0</v>
      </c>
    </row>
    <row r="75" spans="1:6">
      <c r="A75" s="7">
        <v>45400</v>
      </c>
      <c r="B75" s="5">
        <v>-1.1999997072636E-2</v>
      </c>
      <c r="C75" s="5">
        <v>1.6077248969553801E-2</v>
      </c>
      <c r="D75" s="5">
        <v>1.3344585295645301E-2</v>
      </c>
      <c r="E75" s="5">
        <v>1.80412389873887E-2</v>
      </c>
      <c r="F75" s="5">
        <v>8.6206506880765997E-3</v>
      </c>
    </row>
    <row r="76" spans="1:6">
      <c r="A76" s="7">
        <v>45401</v>
      </c>
      <c r="B76" s="5">
        <v>-4.0485114506240202E-3</v>
      </c>
      <c r="C76" s="5">
        <v>-1.1075916759060399E-2</v>
      </c>
      <c r="D76" s="5">
        <v>-1.0973879660117799E-3</v>
      </c>
      <c r="E76" s="5">
        <v>0</v>
      </c>
      <c r="F76" s="5">
        <v>4.27353977462408E-3</v>
      </c>
    </row>
    <row r="77" spans="1:6">
      <c r="A77" s="7">
        <v>45404</v>
      </c>
      <c r="B77" s="5">
        <v>3.6585247943529998E-2</v>
      </c>
      <c r="C77" s="5">
        <v>2.2399933314925399E-2</v>
      </c>
      <c r="D77" s="5">
        <v>2.93050453266719E-2</v>
      </c>
      <c r="E77" s="5">
        <v>7.5950302398089002E-3</v>
      </c>
      <c r="F77" s="5">
        <v>4.25535434856039E-3</v>
      </c>
    </row>
    <row r="78" spans="1:6">
      <c r="A78" s="7">
        <v>45405</v>
      </c>
      <c r="B78" s="5">
        <v>2.3529406941235499E-2</v>
      </c>
      <c r="C78" s="5">
        <v>1.5649443098632001E-2</v>
      </c>
      <c r="D78" s="5">
        <v>1.6143295219834201E-2</v>
      </c>
      <c r="E78" s="5">
        <v>7.53758724906573E-3</v>
      </c>
      <c r="F78" s="5">
        <v>8.4746460750924103E-3</v>
      </c>
    </row>
    <row r="79" spans="1:6">
      <c r="A79" s="7">
        <v>45406</v>
      </c>
      <c r="B79" s="5">
        <v>1.5325800951854001E-2</v>
      </c>
      <c r="C79" s="5">
        <v>9.2451207514969696E-3</v>
      </c>
      <c r="D79" s="5">
        <v>-6.9323981285941399E-3</v>
      </c>
      <c r="E79" s="5">
        <v>9.9750999850851708E-3</v>
      </c>
      <c r="F79" s="5">
        <v>8.4033225112063493E-3</v>
      </c>
    </row>
    <row r="80" spans="1:6">
      <c r="A80" s="7">
        <v>45407</v>
      </c>
      <c r="B80" s="5">
        <v>-7.5472330839452297E-3</v>
      </c>
      <c r="C80" s="5">
        <v>0</v>
      </c>
      <c r="D80" s="5">
        <v>2.03621181383529E-3</v>
      </c>
      <c r="E80" s="5">
        <v>-2.4692716797911599E-3</v>
      </c>
      <c r="F80" s="5">
        <v>8.3332951445258506E-3</v>
      </c>
    </row>
    <row r="81" spans="1:6">
      <c r="A81" s="7">
        <v>45408</v>
      </c>
      <c r="B81" s="5">
        <v>3.8023134881257602E-3</v>
      </c>
      <c r="C81" s="5">
        <v>-1.5267247673250699E-3</v>
      </c>
      <c r="D81" s="5">
        <v>-8.7114132324250804E-4</v>
      </c>
      <c r="E81" s="5">
        <v>0</v>
      </c>
      <c r="F81" s="5">
        <v>-4.1321597785358702E-3</v>
      </c>
    </row>
    <row r="82" spans="1:6">
      <c r="A82" s="7">
        <v>45411</v>
      </c>
      <c r="B82" s="5">
        <v>-3.7879106643149401E-3</v>
      </c>
      <c r="C82" s="5">
        <v>1.52905921990687E-3</v>
      </c>
      <c r="D82" s="5">
        <v>1.04592101793353E-2</v>
      </c>
      <c r="E82" s="5">
        <v>2.4753840755855601E-3</v>
      </c>
      <c r="F82" s="5">
        <v>-2.4896362883796899E-2</v>
      </c>
    </row>
    <row r="83" spans="1:6">
      <c r="A83" s="7">
        <v>45412</v>
      </c>
      <c r="B83" s="5">
        <v>1.1406841083470501E-2</v>
      </c>
      <c r="C83" s="5">
        <v>-1.5267247673250699E-3</v>
      </c>
      <c r="D83" s="5">
        <v>3.4502533057010299E-3</v>
      </c>
      <c r="E83" s="5">
        <v>4.9875577026736702E-3</v>
      </c>
      <c r="F83" s="5">
        <v>1.2766063045681E-2</v>
      </c>
    </row>
    <row r="84" spans="1:6">
      <c r="A84" s="7">
        <v>45414</v>
      </c>
      <c r="B84" s="5">
        <v>7.8739724207565996E-3</v>
      </c>
      <c r="C84" s="5">
        <v>-1.5289762406253101E-3</v>
      </c>
      <c r="D84" s="5">
        <v>1.8624529382984801E-2</v>
      </c>
      <c r="E84" s="5">
        <v>-9.9256108485061799E-3</v>
      </c>
      <c r="F84" s="5">
        <v>0</v>
      </c>
    </row>
    <row r="85" spans="1:6">
      <c r="A85" s="7">
        <v>45415</v>
      </c>
      <c r="B85" s="5">
        <v>1.5625012186552201E-2</v>
      </c>
      <c r="C85" s="5">
        <v>-1.5314838015336701E-3</v>
      </c>
      <c r="D85" s="5">
        <v>2.5317030090621401E-3</v>
      </c>
      <c r="E85" s="5">
        <v>-1.2531331670457301E-2</v>
      </c>
      <c r="F85" s="5">
        <v>0</v>
      </c>
    </row>
    <row r="86" spans="1:6">
      <c r="A86" s="7">
        <v>45418</v>
      </c>
      <c r="B86" s="5">
        <v>1.9230855993250601E-2</v>
      </c>
      <c r="C86" s="5">
        <v>4.6012488235940303E-3</v>
      </c>
      <c r="D86" s="5">
        <v>4.7700158303085596E-3</v>
      </c>
      <c r="E86" s="5">
        <v>-2.53808464325378E-3</v>
      </c>
      <c r="F86" s="5">
        <v>0</v>
      </c>
    </row>
    <row r="87" spans="1:6">
      <c r="A87" s="7">
        <v>45419</v>
      </c>
      <c r="B87" s="5">
        <v>-1.8868008047607601E-2</v>
      </c>
      <c r="C87" s="5">
        <v>2.1373981037361E-2</v>
      </c>
      <c r="D87" s="5">
        <v>3.35083170966355E-3</v>
      </c>
      <c r="E87" s="5">
        <v>-2.5444136783202599E-3</v>
      </c>
      <c r="F87" s="5">
        <v>0</v>
      </c>
    </row>
    <row r="88" spans="1:6">
      <c r="A88" s="7">
        <v>45420</v>
      </c>
      <c r="B88" s="5">
        <v>-1.15384943974438E-2</v>
      </c>
      <c r="C88" s="5">
        <v>-1.49477546488352E-3</v>
      </c>
      <c r="D88" s="5">
        <v>-6.1228468533142096E-3</v>
      </c>
      <c r="E88" s="5">
        <v>-2.5510985737466898E-3</v>
      </c>
      <c r="F88" s="5">
        <v>-4.20182245908385E-3</v>
      </c>
    </row>
    <row r="89" spans="1:6">
      <c r="A89" s="7">
        <v>45421</v>
      </c>
      <c r="B89" s="5">
        <v>-3.8910294228327001E-3</v>
      </c>
      <c r="C89" s="5">
        <v>-1.4970131634308699E-3</v>
      </c>
      <c r="D89" s="5">
        <v>3.1276490925416E-3</v>
      </c>
      <c r="E89" s="5">
        <v>0</v>
      </c>
      <c r="F89" s="5">
        <v>0</v>
      </c>
    </row>
    <row r="90" spans="1:6">
      <c r="A90" s="7">
        <v>45422</v>
      </c>
      <c r="B90" s="5">
        <v>1.17187835130184E-2</v>
      </c>
      <c r="C90" s="5">
        <v>1.1993979212009001E-2</v>
      </c>
      <c r="D90" s="5">
        <v>3.4013867612352499E-3</v>
      </c>
      <c r="E90" s="5">
        <v>1.7902843695774402E-2</v>
      </c>
      <c r="F90" s="5">
        <v>1.2658333038345199E-2</v>
      </c>
    </row>
    <row r="91" spans="1:6">
      <c r="A91" s="7">
        <v>45425</v>
      </c>
      <c r="B91" s="5">
        <v>0</v>
      </c>
      <c r="C91" s="5">
        <v>7.4074431397235197E-3</v>
      </c>
      <c r="D91" s="5">
        <v>-8.4758510826898903E-4</v>
      </c>
      <c r="E91" s="5">
        <v>1.25628167956207E-2</v>
      </c>
      <c r="F91" s="5">
        <v>4.1667008589709696E-3</v>
      </c>
    </row>
    <row r="92" spans="1:6">
      <c r="A92" s="7">
        <v>45426</v>
      </c>
      <c r="B92" s="5">
        <v>7.72196530733593E-3</v>
      </c>
      <c r="C92" s="5">
        <v>5.8823811081938401E-3</v>
      </c>
      <c r="D92" s="5">
        <v>2.54454913299007E-3</v>
      </c>
      <c r="E92" s="5">
        <v>4.2183594059151501E-2</v>
      </c>
      <c r="F92" s="5">
        <v>8.29871687379935E-3</v>
      </c>
    </row>
    <row r="93" spans="1:6">
      <c r="A93" s="7">
        <v>45427</v>
      </c>
      <c r="B93" s="5">
        <v>0</v>
      </c>
      <c r="C93" s="5">
        <v>-4.38598579118643E-3</v>
      </c>
      <c r="D93" s="5">
        <v>-4.2301513935889502E-3</v>
      </c>
      <c r="E93" s="5">
        <v>0</v>
      </c>
      <c r="F93" s="5">
        <v>0</v>
      </c>
    </row>
    <row r="94" spans="1:6">
      <c r="A94" s="7">
        <v>45428</v>
      </c>
      <c r="B94" s="5">
        <v>1.5325778213316699E-2</v>
      </c>
      <c r="C94" s="5">
        <v>-1.1747406728985299E-2</v>
      </c>
      <c r="D94" s="5">
        <v>6.7969339058862E-3</v>
      </c>
      <c r="E94" s="5">
        <v>7.1427137632598097E-3</v>
      </c>
      <c r="F94" s="5">
        <v>0</v>
      </c>
    </row>
    <row r="95" spans="1:6">
      <c r="A95" s="7">
        <v>45429</v>
      </c>
      <c r="B95" s="5">
        <v>3.7735639369835799E-3</v>
      </c>
      <c r="C95" s="5">
        <v>7.4294558511227597E-3</v>
      </c>
      <c r="D95" s="5">
        <v>4.2195025509090796E-3</v>
      </c>
      <c r="E95" s="5">
        <v>0</v>
      </c>
      <c r="F95" s="5">
        <v>-4.1152601238693097E-3</v>
      </c>
    </row>
    <row r="96" spans="1:6">
      <c r="A96" s="7">
        <v>45432</v>
      </c>
      <c r="B96" s="5">
        <v>2.2556359936839201E-2</v>
      </c>
      <c r="C96" s="5">
        <v>-1.47493321899073E-3</v>
      </c>
      <c r="D96" s="5">
        <v>2.8011221282171501E-3</v>
      </c>
      <c r="E96" s="5">
        <v>-1.89125128041778E-2</v>
      </c>
      <c r="F96" s="5">
        <v>-4.1321597785358702E-3</v>
      </c>
    </row>
    <row r="97" spans="1:6">
      <c r="A97" s="7">
        <v>45433</v>
      </c>
      <c r="B97" s="5">
        <v>-1.47058931479488E-2</v>
      </c>
      <c r="C97" s="5">
        <v>-1.4771118603417201E-3</v>
      </c>
      <c r="D97" s="5">
        <v>-3.35204104580089E-3</v>
      </c>
      <c r="E97" s="5">
        <v>-2.4330261547558202E-3</v>
      </c>
      <c r="F97" s="5">
        <v>-4.1494115024993698E-3</v>
      </c>
    </row>
    <row r="98" spans="1:6">
      <c r="A98" s="7">
        <v>45435</v>
      </c>
      <c r="B98" s="5">
        <v>-1.11939683451736E-2</v>
      </c>
      <c r="C98" s="5">
        <v>-7.3964044582656204E-3</v>
      </c>
      <c r="D98" s="5">
        <v>4.7644512275515404E-3</v>
      </c>
      <c r="E98" s="5">
        <v>1.46341906252092E-2</v>
      </c>
      <c r="F98" s="5">
        <v>4.1667008589709696E-3</v>
      </c>
    </row>
    <row r="99" spans="1:6">
      <c r="A99" s="7">
        <v>45436</v>
      </c>
      <c r="B99" s="5">
        <v>-1.13208801736403E-2</v>
      </c>
      <c r="C99" s="5">
        <v>-4.4710407467080096E-3</v>
      </c>
      <c r="D99" s="5">
        <v>5.5808357540443299E-4</v>
      </c>
      <c r="E99" s="5">
        <v>-2.4039037016634298E-3</v>
      </c>
      <c r="F99" s="5">
        <v>4.1493053712999802E-3</v>
      </c>
    </row>
    <row r="100" spans="1:6">
      <c r="A100" s="7">
        <v>45439</v>
      </c>
      <c r="B100" s="5">
        <v>3.8168684284452001E-3</v>
      </c>
      <c r="C100" s="5">
        <v>7.4850658171541403E-3</v>
      </c>
      <c r="D100" s="5">
        <v>-5.5777229184961197E-4</v>
      </c>
      <c r="E100" s="5">
        <v>-9.6385431190454396E-3</v>
      </c>
      <c r="F100" s="5">
        <v>4.1322654711841702E-3</v>
      </c>
    </row>
    <row r="101" spans="1:6">
      <c r="A101" s="7">
        <v>45440</v>
      </c>
      <c r="B101" s="5">
        <v>1.14068762200861E-2</v>
      </c>
      <c r="C101" s="5">
        <v>2.97170170381977E-3</v>
      </c>
      <c r="D101" s="5">
        <v>-1.9524563441750699E-3</v>
      </c>
      <c r="E101" s="5">
        <v>-2.43308719560864E-3</v>
      </c>
      <c r="F101" s="5">
        <v>1.23456751139126E-2</v>
      </c>
    </row>
    <row r="102" spans="1:6">
      <c r="A102" s="7">
        <v>45441</v>
      </c>
      <c r="B102" s="5">
        <v>0</v>
      </c>
      <c r="C102" s="5">
        <v>-2.9628968581780798E-3</v>
      </c>
      <c r="D102" s="5">
        <v>-2.5152716985345999E-3</v>
      </c>
      <c r="E102" s="5">
        <v>-2.4390828866782698E-3</v>
      </c>
      <c r="F102" s="5">
        <v>0</v>
      </c>
    </row>
    <row r="103" spans="1:6">
      <c r="A103" s="7">
        <v>45442</v>
      </c>
      <c r="B103" s="5">
        <v>-7.5187553698525802E-3</v>
      </c>
      <c r="C103" s="5">
        <v>0</v>
      </c>
      <c r="D103" s="5">
        <v>-1.9613288488904402E-3</v>
      </c>
      <c r="E103" s="5">
        <v>1.22249868336788E-2</v>
      </c>
      <c r="F103" s="5">
        <v>0</v>
      </c>
    </row>
    <row r="104" spans="1:6">
      <c r="A104" s="7">
        <v>45443</v>
      </c>
      <c r="B104" s="5">
        <v>7.5757153200961599E-3</v>
      </c>
      <c r="C104" s="5">
        <v>5.9435646808982901E-3</v>
      </c>
      <c r="D104" s="5">
        <v>1.03874227793059E-2</v>
      </c>
      <c r="E104" s="5">
        <v>9.6619460899443101E-3</v>
      </c>
      <c r="F104" s="5">
        <v>8.1300441068383692E-3</v>
      </c>
    </row>
    <row r="105" spans="1:6">
      <c r="A105" s="7">
        <v>45446</v>
      </c>
      <c r="B105" s="5">
        <v>3.7593776849262901E-3</v>
      </c>
      <c r="C105" s="5">
        <v>0</v>
      </c>
      <c r="D105" s="5">
        <v>2.2226981747222002E-3</v>
      </c>
      <c r="E105" s="5">
        <v>-9.5694862298827399E-3</v>
      </c>
      <c r="F105" s="5">
        <v>0</v>
      </c>
    </row>
    <row r="106" spans="1:6">
      <c r="A106" s="7">
        <v>45447</v>
      </c>
      <c r="B106" s="5">
        <v>-3.7452976963432399E-3</v>
      </c>
      <c r="C106" s="5">
        <v>4.4312554208329998E-3</v>
      </c>
      <c r="D106" s="5">
        <v>-6.6537217673764398E-3</v>
      </c>
      <c r="E106" s="5">
        <v>-2.4154682985883601E-2</v>
      </c>
      <c r="F106" s="5">
        <v>8.0644795325401902E-3</v>
      </c>
    </row>
    <row r="107" spans="1:6">
      <c r="A107" s="7">
        <v>45448</v>
      </c>
      <c r="B107" s="5">
        <v>3.7593776849262901E-3</v>
      </c>
      <c r="C107" s="5">
        <v>5.8823811081938401E-3</v>
      </c>
      <c r="D107" s="5">
        <v>-1.31176221741635E-2</v>
      </c>
      <c r="E107" s="5">
        <v>4.95061431055466E-3</v>
      </c>
      <c r="F107" s="5">
        <v>7.9999639867083302E-3</v>
      </c>
    </row>
    <row r="108" spans="1:6">
      <c r="A108" s="7">
        <v>45449</v>
      </c>
      <c r="B108" s="5">
        <v>-1.4981284261243301E-2</v>
      </c>
      <c r="C108" s="5">
        <v>-4.38598579118643E-3</v>
      </c>
      <c r="D108" s="5">
        <v>3.9593277699081497E-3</v>
      </c>
      <c r="E108" s="5">
        <v>7.3890919218075899E-3</v>
      </c>
      <c r="F108" s="5">
        <v>3.9682869955448598E-3</v>
      </c>
    </row>
    <row r="109" spans="1:6">
      <c r="A109" s="7">
        <v>45450</v>
      </c>
      <c r="B109" s="5">
        <v>3.8023553384003402E-3</v>
      </c>
      <c r="C109" s="5">
        <v>-1.4684358022929399E-3</v>
      </c>
      <c r="D109" s="5">
        <v>5.6358579532189701E-4</v>
      </c>
      <c r="E109" s="5">
        <v>0</v>
      </c>
      <c r="F109" s="5">
        <v>-3.9526019366809004E-3</v>
      </c>
    </row>
    <row r="110" spans="1:6">
      <c r="A110" s="7">
        <v>45453</v>
      </c>
      <c r="B110" s="5">
        <v>-1.5151619716372499E-2</v>
      </c>
      <c r="C110" s="5">
        <v>-1.4705952770484E-3</v>
      </c>
      <c r="D110" s="5">
        <v>3.0968305546070799E-3</v>
      </c>
      <c r="E110" s="5">
        <v>-2.4449850689459698E-3</v>
      </c>
      <c r="F110" s="5">
        <v>7.9365739910897092E-3</v>
      </c>
    </row>
    <row r="111" spans="1:6">
      <c r="A111" s="7">
        <v>45454</v>
      </c>
      <c r="B111" s="5">
        <v>-7.6923615958067702E-3</v>
      </c>
      <c r="C111" s="5">
        <v>-4.4182034136696097E-3</v>
      </c>
      <c r="D111" s="5">
        <v>-2.2453963935318302E-3</v>
      </c>
      <c r="E111" s="5">
        <v>-1.22547650844876E-2</v>
      </c>
      <c r="F111" s="5">
        <v>7.8739800671785397E-3</v>
      </c>
    </row>
    <row r="112" spans="1:6">
      <c r="A112" s="7">
        <v>45455</v>
      </c>
      <c r="B112" s="5">
        <v>1.16279407220927E-2</v>
      </c>
      <c r="C112" s="5">
        <v>-4.4378908422231201E-3</v>
      </c>
      <c r="D112" s="5">
        <v>2.8130619310295902E-3</v>
      </c>
      <c r="E112" s="5">
        <v>-2.48151128998708E-3</v>
      </c>
      <c r="F112" s="5">
        <v>0</v>
      </c>
    </row>
    <row r="113" spans="1:6">
      <c r="A113" s="7">
        <v>45456</v>
      </c>
      <c r="B113" s="5">
        <v>1.14943814723609E-2</v>
      </c>
      <c r="C113" s="5">
        <v>5.9435646808982901E-3</v>
      </c>
      <c r="D113" s="5">
        <v>5.3296143273025001E-3</v>
      </c>
      <c r="E113" s="5">
        <v>4.97505621610195E-3</v>
      </c>
      <c r="F113" s="5">
        <v>0</v>
      </c>
    </row>
    <row r="114" spans="1:6">
      <c r="A114" s="7">
        <v>45457</v>
      </c>
      <c r="B114" s="5">
        <v>-3.7879521981382101E-3</v>
      </c>
      <c r="C114" s="5">
        <v>-5.90844744136687E-3</v>
      </c>
      <c r="D114" s="5">
        <v>-1.00447798127724E-2</v>
      </c>
      <c r="E114" s="5">
        <v>-1.48513449320352E-2</v>
      </c>
      <c r="F114" s="5">
        <v>-3.9062823935338596E-3</v>
      </c>
    </row>
    <row r="115" spans="1:6">
      <c r="A115" s="7">
        <v>45461</v>
      </c>
      <c r="B115" s="5">
        <v>7.6046157792433204E-3</v>
      </c>
      <c r="C115" s="5">
        <v>4.4576735106736098E-3</v>
      </c>
      <c r="D115" s="5">
        <v>5.6360168695479605E-4</v>
      </c>
      <c r="E115" s="5">
        <v>1.2562862176082899E-2</v>
      </c>
      <c r="F115" s="5">
        <v>1.17647035222492E-2</v>
      </c>
    </row>
    <row r="116" spans="1:6">
      <c r="A116" s="7">
        <v>45462</v>
      </c>
      <c r="B116" s="5">
        <v>3.7735639369835799E-3</v>
      </c>
      <c r="C116" s="5">
        <v>5.9171075108579397E-3</v>
      </c>
      <c r="D116" s="5">
        <v>-8.4483585563710495E-4</v>
      </c>
      <c r="E116" s="5">
        <v>-2.48151128998708E-3</v>
      </c>
      <c r="F116" s="5">
        <v>7.7520025395207996E-3</v>
      </c>
    </row>
    <row r="117" spans="1:6">
      <c r="A117" s="7">
        <v>45463</v>
      </c>
      <c r="B117" s="5">
        <v>-3.7593776849262901E-3</v>
      </c>
      <c r="C117" s="5">
        <v>-4.4117060245964001E-3</v>
      </c>
      <c r="D117" s="5">
        <v>0</v>
      </c>
      <c r="E117" s="5">
        <v>-4.9750562161020601E-3</v>
      </c>
      <c r="F117" s="5">
        <v>1.1538556886991E-2</v>
      </c>
    </row>
    <row r="118" spans="1:6">
      <c r="A118" s="7">
        <v>45464</v>
      </c>
      <c r="B118" s="5">
        <v>7.5471278739673896E-3</v>
      </c>
      <c r="C118" s="5">
        <v>-1.4771118603417201E-3</v>
      </c>
      <c r="D118" s="5">
        <v>-5.6382087036677098E-4</v>
      </c>
      <c r="E118" s="5">
        <v>9.9998623093464599E-3</v>
      </c>
      <c r="F118" s="5">
        <v>3.8022151774090899E-3</v>
      </c>
    </row>
    <row r="119" spans="1:6">
      <c r="A119" s="7">
        <v>45467</v>
      </c>
      <c r="B119" s="5">
        <v>-3.7452976963432399E-3</v>
      </c>
      <c r="C119" s="5">
        <v>1.47929694740778E-3</v>
      </c>
      <c r="D119" s="5">
        <v>2.5387460471768498E-3</v>
      </c>
      <c r="E119" s="5">
        <v>1.48515939318497E-2</v>
      </c>
      <c r="F119" s="5">
        <v>3.7878130969626299E-3</v>
      </c>
    </row>
    <row r="120" spans="1:6">
      <c r="A120" s="7">
        <v>45468</v>
      </c>
      <c r="B120" s="5">
        <v>0</v>
      </c>
      <c r="C120" s="5">
        <v>1.4771118603416099E-3</v>
      </c>
      <c r="D120" s="5">
        <v>3.0950877493796099E-3</v>
      </c>
      <c r="E120" s="5">
        <v>9.7560861908245807E-3</v>
      </c>
      <c r="F120" s="5">
        <v>3.7735197095849502E-3</v>
      </c>
    </row>
    <row r="121" spans="1:6">
      <c r="A121" s="7">
        <v>45469</v>
      </c>
      <c r="B121" s="5">
        <v>3.7593776849262901E-3</v>
      </c>
      <c r="C121" s="5">
        <v>4.4247196150109004E-3</v>
      </c>
      <c r="D121" s="5">
        <v>1.12200826325659E-3</v>
      </c>
      <c r="E121" s="5">
        <v>1.2077098507639101E-2</v>
      </c>
      <c r="F121" s="5">
        <v>1.50377197836671E-2</v>
      </c>
    </row>
    <row r="122" spans="1:6">
      <c r="A122" s="7">
        <v>45470</v>
      </c>
      <c r="B122" s="5">
        <v>-7.4905953926864798E-3</v>
      </c>
      <c r="C122" s="5">
        <v>2.05579418533848E-2</v>
      </c>
      <c r="D122" s="5">
        <v>1.0086876932974101E-2</v>
      </c>
      <c r="E122" s="5">
        <v>3.34129157617684E-2</v>
      </c>
      <c r="F122" s="5">
        <v>1.85184816783239E-2</v>
      </c>
    </row>
    <row r="123" spans="1:6">
      <c r="A123" s="7">
        <v>45471</v>
      </c>
      <c r="B123" s="5">
        <v>3.7735639369835799E-3</v>
      </c>
      <c r="C123" s="5">
        <v>-7.19412326498081E-3</v>
      </c>
      <c r="D123" s="5">
        <v>-7.2122212189739097E-3</v>
      </c>
      <c r="E123" s="5">
        <v>0</v>
      </c>
      <c r="F123" s="5">
        <v>0</v>
      </c>
    </row>
    <row r="124" spans="1:6">
      <c r="A124" s="7">
        <v>45474</v>
      </c>
      <c r="B124" s="5">
        <v>-3.7593776849262901E-3</v>
      </c>
      <c r="C124" s="5">
        <v>-2.8984857529590299E-3</v>
      </c>
      <c r="D124" s="5">
        <v>9.2203443207936608E-3</v>
      </c>
      <c r="E124" s="5">
        <v>-9.2377500058661299E-3</v>
      </c>
      <c r="F124" s="5">
        <v>3.6363937376309198E-3</v>
      </c>
    </row>
    <row r="125" spans="1:6">
      <c r="A125" s="7">
        <v>45475</v>
      </c>
      <c r="B125" s="5">
        <v>-3.77356393698369E-3</v>
      </c>
      <c r="C125" s="5">
        <v>-4.3605642877183604E-3</v>
      </c>
      <c r="D125" s="5">
        <v>2.7131837170800699E-2</v>
      </c>
      <c r="E125" s="5">
        <v>-6.9929405816953104E-3</v>
      </c>
      <c r="F125" s="5">
        <v>7.2463439061272198E-3</v>
      </c>
    </row>
    <row r="126" spans="1:6">
      <c r="A126" s="7">
        <v>45476</v>
      </c>
      <c r="B126" s="5">
        <v>1.5151430640192099E-2</v>
      </c>
      <c r="C126" s="5">
        <v>8.7591657235708293E-3</v>
      </c>
      <c r="D126" s="5">
        <v>2.3180503822921399E-2</v>
      </c>
      <c r="E126" s="5">
        <v>4.6949482078637601E-3</v>
      </c>
      <c r="F126" s="5">
        <v>2.15827285176498E-2</v>
      </c>
    </row>
    <row r="127" spans="1:6">
      <c r="A127" s="7">
        <v>45477</v>
      </c>
      <c r="B127" s="5">
        <v>1.11940614722554E-2</v>
      </c>
      <c r="C127" s="5">
        <v>1.44718482223785E-2</v>
      </c>
      <c r="D127" s="5">
        <v>5.2694973941869205E-4</v>
      </c>
      <c r="E127" s="5">
        <v>7.0092779740924503E-3</v>
      </c>
      <c r="F127" s="5">
        <v>1.76056896159178E-2</v>
      </c>
    </row>
    <row r="128" spans="1:6">
      <c r="A128" s="7">
        <v>45478</v>
      </c>
      <c r="B128" s="5">
        <v>-2.2140191156614399E-2</v>
      </c>
      <c r="C128" s="5">
        <v>-4.2797752806379404E-3</v>
      </c>
      <c r="D128" s="5">
        <v>-1.4744566797167701E-2</v>
      </c>
      <c r="E128" s="5">
        <v>-1.16009722092717E-2</v>
      </c>
      <c r="F128" s="5">
        <v>-1.3840855867895499E-2</v>
      </c>
    </row>
    <row r="129" spans="1:6">
      <c r="A129" s="7">
        <v>45481</v>
      </c>
      <c r="B129" s="5">
        <v>-3.77356393698369E-3</v>
      </c>
      <c r="C129" s="5">
        <v>-2.8652655764460598E-3</v>
      </c>
      <c r="D129" s="5">
        <v>-6.4137321892588899E-3</v>
      </c>
      <c r="E129" s="5">
        <v>0</v>
      </c>
      <c r="F129" s="5">
        <v>-3.5088009004758899E-3</v>
      </c>
    </row>
    <row r="130" spans="1:6">
      <c r="A130" s="7">
        <v>45482</v>
      </c>
      <c r="B130" s="5">
        <v>0</v>
      </c>
      <c r="C130" s="5">
        <v>1.00574411286716E-2</v>
      </c>
      <c r="D130" s="5">
        <v>5.9172442738966201E-3</v>
      </c>
      <c r="E130" s="5">
        <v>1.40844904126309E-2</v>
      </c>
      <c r="F130" s="5">
        <v>2.11268455515112E-2</v>
      </c>
    </row>
    <row r="131" spans="1:6">
      <c r="A131" s="7">
        <v>45483</v>
      </c>
      <c r="B131" s="5">
        <v>1.5151430640192099E-2</v>
      </c>
      <c r="C131" s="5">
        <v>5.6900048548265102E-3</v>
      </c>
      <c r="D131" s="5">
        <v>2.0053573293321601E-2</v>
      </c>
      <c r="E131" s="5">
        <v>1.85184969573229E-2</v>
      </c>
      <c r="F131" s="5">
        <v>1.0344736042050299E-2</v>
      </c>
    </row>
    <row r="132" spans="1:6">
      <c r="A132" s="7">
        <v>45484</v>
      </c>
      <c r="B132" s="5">
        <v>0</v>
      </c>
      <c r="C132" s="5">
        <v>-2.8288675595041801E-3</v>
      </c>
      <c r="D132" s="5">
        <v>6.0287859149026398E-3</v>
      </c>
      <c r="E132" s="5">
        <v>2.2726675179214301E-3</v>
      </c>
      <c r="F132" s="5">
        <v>-3.4129102916844499E-3</v>
      </c>
    </row>
    <row r="133" spans="1:6">
      <c r="A133" s="7">
        <v>45485</v>
      </c>
      <c r="B133" s="5">
        <v>4.8507475543664302E-2</v>
      </c>
      <c r="C133" s="5">
        <v>-2.8369697299063198E-3</v>
      </c>
      <c r="D133" s="5">
        <v>-1.1724890739554499E-2</v>
      </c>
      <c r="E133" s="5">
        <v>-6.8027707447439996E-3</v>
      </c>
      <c r="F133" s="5">
        <v>1.0273969602925001E-2</v>
      </c>
    </row>
    <row r="134" spans="1:6">
      <c r="A134" s="7">
        <v>45488</v>
      </c>
      <c r="B134" s="5">
        <v>-1.7793585139706102E-2</v>
      </c>
      <c r="C134" s="5">
        <v>4.26744574447713E-3</v>
      </c>
      <c r="D134" s="5">
        <v>-7.9088029775487001E-4</v>
      </c>
      <c r="E134" s="5">
        <v>-2.2830452454299902E-3</v>
      </c>
      <c r="F134" s="5">
        <v>2.0338977172623899E-2</v>
      </c>
    </row>
    <row r="135" spans="1:6">
      <c r="A135" s="7">
        <v>45489</v>
      </c>
      <c r="B135" s="5">
        <v>-7.2464272676542301E-3</v>
      </c>
      <c r="C135" s="5">
        <v>4.2493120359123901E-3</v>
      </c>
      <c r="D135" s="5">
        <v>-1.4248130045217E-2</v>
      </c>
      <c r="E135" s="5">
        <v>0</v>
      </c>
      <c r="F135" s="5">
        <v>1.3288976130386499E-2</v>
      </c>
    </row>
    <row r="136" spans="1:6">
      <c r="A136" s="7">
        <v>45490</v>
      </c>
      <c r="B136" s="5">
        <v>7.2993212683285496E-3</v>
      </c>
      <c r="C136" s="5">
        <v>2.8208113156380499E-3</v>
      </c>
      <c r="D136" s="5">
        <v>-2.1411913987837701E-3</v>
      </c>
      <c r="E136" s="5">
        <v>4.5767691329357003E-3</v>
      </c>
      <c r="F136" s="5">
        <v>-9.8360633741362297E-3</v>
      </c>
    </row>
    <row r="137" spans="1:6">
      <c r="A137" s="7">
        <v>45491</v>
      </c>
      <c r="B137" s="5">
        <v>-1.0869595687609399E-2</v>
      </c>
      <c r="C137" s="5">
        <v>-7.0323062932935399E-3</v>
      </c>
      <c r="D137" s="5">
        <v>-1.01934021677262E-2</v>
      </c>
      <c r="E137" s="5">
        <v>4.5556886013491402E-3</v>
      </c>
      <c r="F137" s="5">
        <v>1.32449736584368E-2</v>
      </c>
    </row>
    <row r="138" spans="1:6">
      <c r="A138" s="7">
        <v>45492</v>
      </c>
      <c r="B138" s="5">
        <v>-7.3259671407509596E-3</v>
      </c>
      <c r="C138" s="5">
        <v>-2.8328746906083301E-3</v>
      </c>
      <c r="D138" s="5">
        <v>-5.6909277418017998E-3</v>
      </c>
      <c r="E138" s="5">
        <v>9.0701709024354499E-3</v>
      </c>
      <c r="F138" s="5">
        <v>-1.30718375148847E-2</v>
      </c>
    </row>
    <row r="139" spans="1:6">
      <c r="A139" s="7">
        <v>45495</v>
      </c>
      <c r="B139" s="5">
        <v>-7.3801251163059202E-3</v>
      </c>
      <c r="C139" s="5">
        <v>7.10230667133494E-3</v>
      </c>
      <c r="D139" s="5">
        <v>-1.33551051278878E-2</v>
      </c>
      <c r="E139" s="5">
        <v>-1.1235774717551401E-2</v>
      </c>
      <c r="F139" s="5">
        <v>9.9337725908843506E-3</v>
      </c>
    </row>
    <row r="140" spans="1:6">
      <c r="A140" s="7">
        <v>45496</v>
      </c>
      <c r="B140" s="5">
        <v>1.11524480886303E-2</v>
      </c>
      <c r="C140" s="5">
        <v>-4.2313317868227802E-3</v>
      </c>
      <c r="D140" s="5">
        <v>1.5193349577996101E-2</v>
      </c>
      <c r="E140" s="5">
        <v>4.5456779764674301E-3</v>
      </c>
      <c r="F140" s="5">
        <v>-9.8360633741362297E-3</v>
      </c>
    </row>
    <row r="141" spans="1:6">
      <c r="A141" s="7">
        <v>45497</v>
      </c>
      <c r="B141" s="5">
        <v>-7.3529006951920097E-3</v>
      </c>
      <c r="C141" s="5">
        <v>-9.9149845496333492E-3</v>
      </c>
      <c r="D141" s="5">
        <v>-2.7197500346964898E-4</v>
      </c>
      <c r="E141" s="5">
        <v>2.2621558587720999E-3</v>
      </c>
      <c r="F141" s="5">
        <v>1.6556259420102699E-2</v>
      </c>
    </row>
    <row r="142" spans="1:6">
      <c r="A142" s="7">
        <v>45498</v>
      </c>
      <c r="B142" s="5">
        <v>-7.4074587614333396E-3</v>
      </c>
      <c r="C142" s="5">
        <v>-5.7225653962000899E-3</v>
      </c>
      <c r="D142" s="5">
        <v>-5.4438938579985897E-3</v>
      </c>
      <c r="E142" s="5">
        <v>-9.0292220937713292E-3</v>
      </c>
      <c r="F142" s="5">
        <v>-1.30293411995772E-2</v>
      </c>
    </row>
    <row r="143" spans="1:6">
      <c r="A143" s="7">
        <v>45499</v>
      </c>
      <c r="B143" s="5">
        <v>1.11940614722554E-2</v>
      </c>
      <c r="C143" s="5">
        <v>2.87771177327989E-3</v>
      </c>
      <c r="D143" s="5">
        <v>-8.2101278948864004E-3</v>
      </c>
      <c r="E143" s="5">
        <v>2.2778443006745701E-3</v>
      </c>
      <c r="F143" s="5">
        <v>3.3004420286111302E-3</v>
      </c>
    </row>
    <row r="144" spans="1:6">
      <c r="A144" s="7">
        <v>45502</v>
      </c>
      <c r="B144" s="5">
        <v>1.1070049530231401E-2</v>
      </c>
      <c r="C144" s="5">
        <v>0</v>
      </c>
      <c r="D144" s="5">
        <v>2.48364032804194E-3</v>
      </c>
      <c r="E144" s="5">
        <v>-2.2726675179215502E-3</v>
      </c>
      <c r="F144" s="5">
        <v>1.9736668296118198E-2</v>
      </c>
    </row>
    <row r="145" spans="1:6">
      <c r="A145" s="7">
        <v>45503</v>
      </c>
      <c r="B145" s="5">
        <v>-1.09488452707849E-2</v>
      </c>
      <c r="C145" s="5">
        <v>-8.6082072123789804E-3</v>
      </c>
      <c r="D145" s="5">
        <v>6.3306880714262296E-3</v>
      </c>
      <c r="E145" s="5">
        <v>0</v>
      </c>
      <c r="F145" s="5">
        <v>-6.4515021821839299E-3</v>
      </c>
    </row>
    <row r="146" spans="1:6">
      <c r="A146" s="7">
        <v>45504</v>
      </c>
      <c r="B146" s="5">
        <v>-3.6900165100771701E-3</v>
      </c>
      <c r="C146" s="5">
        <v>8.6829518612154804E-3</v>
      </c>
      <c r="D146" s="5">
        <v>8.2063386997033305E-4</v>
      </c>
      <c r="E146" s="5">
        <v>6.8338766238134098E-3</v>
      </c>
      <c r="F146" s="5">
        <v>0</v>
      </c>
    </row>
    <row r="147" spans="1:6">
      <c r="A147" s="7">
        <v>45505</v>
      </c>
      <c r="B147" s="5">
        <v>3.7036831620933502E-3</v>
      </c>
      <c r="C147" s="5">
        <v>-5.3110754287149599E-2</v>
      </c>
      <c r="D147" s="5">
        <v>-1.6671213552787001E-2</v>
      </c>
      <c r="E147" s="5">
        <v>0</v>
      </c>
      <c r="F147" s="5">
        <v>-4.2207727498003597E-2</v>
      </c>
    </row>
    <row r="148" spans="1:6">
      <c r="A148" s="7">
        <v>45506</v>
      </c>
      <c r="B148" s="5">
        <v>-7.3801251163059202E-3</v>
      </c>
      <c r="C148" s="5">
        <v>-2.0833247680000701E-2</v>
      </c>
      <c r="D148" s="5">
        <v>-1.8621579851616301E-2</v>
      </c>
      <c r="E148" s="5">
        <v>-4.5251082913662097E-3</v>
      </c>
      <c r="F148" s="5">
        <v>0</v>
      </c>
    </row>
    <row r="149" spans="1:6">
      <c r="A149" s="7">
        <v>45509</v>
      </c>
      <c r="B149" s="5">
        <v>-4.4609699573634698E-2</v>
      </c>
      <c r="C149" s="5">
        <v>-3.4369902613892597E-2</v>
      </c>
      <c r="D149" s="5">
        <v>-5.7773847240324902E-2</v>
      </c>
      <c r="E149" s="5">
        <v>-4.0909158458001797E-2</v>
      </c>
      <c r="F149" s="5">
        <v>-1.3559347016348901E-2</v>
      </c>
    </row>
    <row r="150" spans="1:6">
      <c r="A150" s="7">
        <v>45510</v>
      </c>
      <c r="B150" s="5">
        <v>-1.5564117691330899E-2</v>
      </c>
      <c r="C150" s="5">
        <v>0</v>
      </c>
      <c r="D150" s="5">
        <v>-1.5629730314170101E-2</v>
      </c>
      <c r="E150" s="5">
        <v>-1.1848268927707101E-2</v>
      </c>
      <c r="F150" s="5">
        <v>-2.0618551264189301E-2</v>
      </c>
    </row>
    <row r="151" spans="1:6">
      <c r="A151" s="7">
        <v>45511</v>
      </c>
      <c r="B151" s="5">
        <v>-1.18577406526403E-2</v>
      </c>
      <c r="C151" s="5">
        <v>0</v>
      </c>
      <c r="D151" s="5">
        <v>2.7480931302477099E-2</v>
      </c>
      <c r="E151" s="5">
        <v>2.39806672500587E-2</v>
      </c>
      <c r="F151" s="5">
        <v>1.7543914756339901E-2</v>
      </c>
    </row>
    <row r="152" spans="1:6">
      <c r="A152" s="7">
        <v>45512</v>
      </c>
      <c r="B152" s="5">
        <v>0</v>
      </c>
      <c r="C152" s="5">
        <v>-3.38992337016475E-3</v>
      </c>
      <c r="D152" s="5">
        <v>-2.3774540262698801E-3</v>
      </c>
      <c r="E152" s="5">
        <v>-1.1709531252411099E-2</v>
      </c>
      <c r="F152" s="5">
        <v>6.8965200942632298E-3</v>
      </c>
    </row>
    <row r="153" spans="1:6">
      <c r="A153" s="7">
        <v>45516</v>
      </c>
      <c r="B153" s="5">
        <v>7.9999560738179803E-3</v>
      </c>
      <c r="C153" s="5">
        <v>3.4014540387030702E-3</v>
      </c>
      <c r="D153" s="5">
        <v>1.22132098428722E-2</v>
      </c>
      <c r="E153" s="5">
        <v>7.1091758976935503E-3</v>
      </c>
      <c r="F153" s="5">
        <v>-2.7397310670860701E-2</v>
      </c>
    </row>
    <row r="154" spans="1:6">
      <c r="A154" s="7">
        <v>45517</v>
      </c>
      <c r="B154" s="5">
        <v>3.9683313923160098E-3</v>
      </c>
      <c r="C154" s="5">
        <v>-3.38992337016475E-3</v>
      </c>
      <c r="D154" s="5">
        <v>4.1201237404511204E-3</v>
      </c>
      <c r="E154" s="5">
        <v>7.0588739317898304E-3</v>
      </c>
      <c r="F154" s="5">
        <v>1.0563377744730901E-2</v>
      </c>
    </row>
    <row r="155" spans="1:6">
      <c r="A155" s="7">
        <v>45518</v>
      </c>
      <c r="B155" s="5">
        <v>-1.5810287987371399E-2</v>
      </c>
      <c r="C155" s="5">
        <v>2.0408200663100302E-2</v>
      </c>
      <c r="D155" s="5">
        <v>1.4360917760303901E-2</v>
      </c>
      <c r="E155" s="5">
        <v>2.1027833922277601E-2</v>
      </c>
      <c r="F155" s="5">
        <v>1.3937308624577999E-2</v>
      </c>
    </row>
    <row r="156" spans="1:6">
      <c r="A156" s="7">
        <v>45519</v>
      </c>
      <c r="B156" s="5">
        <v>8.0320842343459802E-3</v>
      </c>
      <c r="C156" s="5">
        <v>1.9999950400553902E-2</v>
      </c>
      <c r="D156" s="5">
        <v>2.0252543075011099E-2</v>
      </c>
      <c r="E156" s="5">
        <v>4.3478270878113803E-2</v>
      </c>
      <c r="F156" s="5">
        <v>3.7800648019145101E-2</v>
      </c>
    </row>
    <row r="157" spans="1:6">
      <c r="A157" s="7">
        <v>45520</v>
      </c>
      <c r="B157" s="5">
        <v>2.3904351174003101E-2</v>
      </c>
      <c r="C157" s="5">
        <v>-1.63386418269229E-3</v>
      </c>
      <c r="D157" s="5">
        <v>2.3014984425685898E-2</v>
      </c>
      <c r="E157" s="5">
        <v>0</v>
      </c>
      <c r="F157" s="5">
        <v>-1.32449736584368E-2</v>
      </c>
    </row>
    <row r="158" spans="1:6">
      <c r="A158" s="7">
        <v>45523</v>
      </c>
      <c r="B158" s="5">
        <v>0</v>
      </c>
      <c r="C158" s="5">
        <v>-1.1456690189102101E-2</v>
      </c>
      <c r="D158" s="5">
        <v>1.6871752747735799E-3</v>
      </c>
      <c r="E158" s="5">
        <v>4.3860703769942298E-3</v>
      </c>
      <c r="F158" s="5">
        <v>-1.00671112137267E-2</v>
      </c>
    </row>
    <row r="159" spans="1:6">
      <c r="A159" s="7">
        <v>45524</v>
      </c>
      <c r="B159" s="5">
        <v>7.78215595873655E-3</v>
      </c>
      <c r="C159" s="5">
        <v>8.2782029381300894E-3</v>
      </c>
      <c r="D159" s="5">
        <v>6.4570851775456201E-3</v>
      </c>
      <c r="E159" s="5">
        <v>2.1833485654869601E-3</v>
      </c>
      <c r="F159" s="5">
        <v>-6.7797168600739503E-3</v>
      </c>
    </row>
    <row r="160" spans="1:6">
      <c r="A160" s="7">
        <v>45525</v>
      </c>
      <c r="B160" s="5">
        <v>-3.8610790168259702E-3</v>
      </c>
      <c r="C160" s="5">
        <v>3.2840779217606598E-3</v>
      </c>
      <c r="D160" s="5">
        <v>-1.95256622233286E-3</v>
      </c>
      <c r="E160" s="5">
        <v>-6.5359949829156801E-3</v>
      </c>
      <c r="F160" s="5">
        <v>0</v>
      </c>
    </row>
    <row r="161" spans="1:6">
      <c r="A161" s="7">
        <v>45526</v>
      </c>
      <c r="B161" s="5">
        <v>1.93799334490432E-2</v>
      </c>
      <c r="C161" s="5">
        <v>8.1831941783316892E-3</v>
      </c>
      <c r="D161" s="5">
        <v>-6.4282102288659698E-3</v>
      </c>
      <c r="E161" s="5">
        <v>-8.8494628376388808E-3</v>
      </c>
      <c r="F161" s="5">
        <v>6.82599517464633E-3</v>
      </c>
    </row>
    <row r="162" spans="1:6">
      <c r="A162" s="7">
        <v>45527</v>
      </c>
      <c r="B162" s="5">
        <v>0</v>
      </c>
      <c r="C162" s="5">
        <v>8.1169396385491997E-3</v>
      </c>
      <c r="D162" s="5">
        <v>9.5640616869765403E-3</v>
      </c>
      <c r="E162" s="5">
        <v>4.4641818791875103E-3</v>
      </c>
      <c r="F162" s="5">
        <v>-3.3898584300369201E-3</v>
      </c>
    </row>
    <row r="163" spans="1:6">
      <c r="A163" s="7">
        <v>45530</v>
      </c>
      <c r="B163" s="5">
        <v>0</v>
      </c>
      <c r="C163" s="5">
        <v>4.8308851439458102E-3</v>
      </c>
      <c r="D163" s="5">
        <v>-2.2290003314664499E-3</v>
      </c>
      <c r="E163" s="5">
        <v>-2.2222815579104899E-3</v>
      </c>
      <c r="F163" s="5">
        <v>-2.04081579388543E-2</v>
      </c>
    </row>
    <row r="164" spans="1:6">
      <c r="A164" s="7">
        <v>45531</v>
      </c>
      <c r="B164" s="5">
        <v>-3.8023553384004499E-3</v>
      </c>
      <c r="C164" s="5">
        <v>-3.2051340031999899E-3</v>
      </c>
      <c r="D164" s="5">
        <v>2.51309492207197E-3</v>
      </c>
      <c r="E164" s="5">
        <v>-2.22700901341255E-3</v>
      </c>
      <c r="F164" s="5">
        <v>3.4722509008340298E-3</v>
      </c>
    </row>
    <row r="165" spans="1:6">
      <c r="A165" s="7">
        <v>45532</v>
      </c>
      <c r="B165" s="5">
        <v>1.14505100255669E-2</v>
      </c>
      <c r="C165" s="5">
        <v>1.6076787137118099E-3</v>
      </c>
      <c r="D165" s="5">
        <v>-6.1281910763120199E-3</v>
      </c>
      <c r="E165" s="5">
        <v>-4.46429316656549E-3</v>
      </c>
      <c r="F165" s="5">
        <v>1.38407673640182E-2</v>
      </c>
    </row>
    <row r="166" spans="1:6">
      <c r="A166" s="7">
        <v>45533</v>
      </c>
      <c r="B166" s="5">
        <v>1.1320691810951E-2</v>
      </c>
      <c r="C166" s="5">
        <v>-3.2101964629034402E-3</v>
      </c>
      <c r="D166" s="5">
        <v>3.6437254138623801E-3</v>
      </c>
      <c r="E166" s="5">
        <v>-4.4843124520016504E-3</v>
      </c>
      <c r="F166" s="5">
        <v>3.0716716398992101E-2</v>
      </c>
    </row>
    <row r="167" spans="1:6">
      <c r="A167" s="7">
        <v>45534</v>
      </c>
      <c r="B167" s="5">
        <v>1.11940614722554E-2</v>
      </c>
      <c r="C167" s="5">
        <v>1.12722030432559E-2</v>
      </c>
      <c r="D167" s="5">
        <v>1.5358744064684999E-2</v>
      </c>
      <c r="E167" s="5">
        <v>2.25208761087936E-3</v>
      </c>
      <c r="F167" s="5">
        <v>3.6423889295985203E-2</v>
      </c>
    </row>
    <row r="168" spans="1:6">
      <c r="A168" s="7">
        <v>45537</v>
      </c>
      <c r="B168" s="5">
        <v>-7.3801251163059202E-3</v>
      </c>
      <c r="C168" s="5">
        <v>3.18463713658823E-3</v>
      </c>
      <c r="D168" s="5">
        <v>1.2101322489415501E-2</v>
      </c>
      <c r="E168" s="5">
        <v>4.4943903308818402E-3</v>
      </c>
      <c r="F168" s="5">
        <v>-6.38982909572894E-3</v>
      </c>
    </row>
    <row r="169" spans="1:6">
      <c r="A169" s="7">
        <v>45538</v>
      </c>
      <c r="B169" s="5">
        <v>3.3457251485004502E-2</v>
      </c>
      <c r="C169" s="5">
        <v>4.7618725721010301E-3</v>
      </c>
      <c r="D169" s="5">
        <v>1.2228123125261E-2</v>
      </c>
      <c r="E169" s="5">
        <v>0</v>
      </c>
      <c r="F169" s="5">
        <v>-3.2155430359536198E-3</v>
      </c>
    </row>
    <row r="170" spans="1:6">
      <c r="A170" s="7">
        <v>45539</v>
      </c>
      <c r="B170" s="5">
        <v>0</v>
      </c>
      <c r="C170" s="5">
        <v>-9.4786092149596896E-3</v>
      </c>
      <c r="D170" s="5">
        <v>-1.7449621136460401E-2</v>
      </c>
      <c r="E170" s="5">
        <v>-1.34228434946305E-2</v>
      </c>
      <c r="F170" s="5">
        <v>1.6129250506272001E-2</v>
      </c>
    </row>
    <row r="171" spans="1:6">
      <c r="A171" s="7">
        <v>45540</v>
      </c>
      <c r="B171" s="5">
        <v>3.5971026028471802E-3</v>
      </c>
      <c r="C171" s="5">
        <v>4.7846564966393902E-3</v>
      </c>
      <c r="D171" s="5">
        <v>1.3662585283176201E-3</v>
      </c>
      <c r="E171" s="5">
        <v>2.26797361458431E-3</v>
      </c>
      <c r="F171" s="5">
        <v>-3.1745480109787198E-3</v>
      </c>
    </row>
    <row r="172" spans="1:6">
      <c r="A172" s="7">
        <v>45541</v>
      </c>
      <c r="B172" s="5">
        <v>0</v>
      </c>
      <c r="C172" s="5">
        <v>-3.1745274186795202E-3</v>
      </c>
      <c r="D172" s="5">
        <v>-3.2742245283424701E-3</v>
      </c>
      <c r="E172" s="5">
        <v>-4.5250063110505697E-3</v>
      </c>
      <c r="F172" s="5">
        <v>-3.1848207750213601E-3</v>
      </c>
    </row>
    <row r="173" spans="1:6">
      <c r="A173" s="7">
        <v>45544</v>
      </c>
      <c r="B173" s="5">
        <v>1.0752718952398399E-2</v>
      </c>
      <c r="C173" s="5">
        <v>4.7769557048822396E-3</v>
      </c>
      <c r="D173" s="5">
        <v>1.8067160802358598E-2</v>
      </c>
      <c r="E173" s="5">
        <v>4.5455750669156601E-3</v>
      </c>
      <c r="F173" s="5">
        <v>3.1949962655037898E-3</v>
      </c>
    </row>
    <row r="174" spans="1:6">
      <c r="A174" s="7">
        <v>45545</v>
      </c>
      <c r="B174" s="5">
        <v>-1.06383280012773E-2</v>
      </c>
      <c r="C174" s="5">
        <v>4.7544888326840297E-3</v>
      </c>
      <c r="D174" s="5">
        <v>-2.6887138176989701E-4</v>
      </c>
      <c r="E174" s="5">
        <v>9.0495614299272997E-3</v>
      </c>
      <c r="F174" s="5">
        <v>3.1847067346846697E-2</v>
      </c>
    </row>
    <row r="175" spans="1:6">
      <c r="A175" s="7">
        <v>45546</v>
      </c>
      <c r="B175" s="5">
        <v>2.1505348449388999E-2</v>
      </c>
      <c r="C175" s="5">
        <v>1.5771683515530799E-3</v>
      </c>
      <c r="D175" s="5">
        <v>2.9586073886951302E-3</v>
      </c>
      <c r="E175" s="5">
        <v>1.34528255695798E-2</v>
      </c>
      <c r="F175" s="5">
        <v>1.5431988634695E-2</v>
      </c>
    </row>
    <row r="176" spans="1:6">
      <c r="A176" s="7">
        <v>45547</v>
      </c>
      <c r="B176" s="5">
        <v>7.0175933302256696E-3</v>
      </c>
      <c r="C176" s="5">
        <v>1.5748060126973499E-2</v>
      </c>
      <c r="D176" s="5">
        <v>1.36766848478327E-2</v>
      </c>
      <c r="E176" s="5">
        <v>1.9911594716684598E-2</v>
      </c>
      <c r="F176" s="5">
        <v>-3.0394612186485101E-3</v>
      </c>
    </row>
    <row r="177" spans="1:6">
      <c r="A177" s="7">
        <v>45548</v>
      </c>
      <c r="B177" s="5">
        <v>-3.48438843017462E-3</v>
      </c>
      <c r="C177" s="5">
        <v>1.0852692828286201E-2</v>
      </c>
      <c r="D177" s="5">
        <v>3.7036768555884802E-3</v>
      </c>
      <c r="E177" s="5">
        <v>1.3015098050157801E-2</v>
      </c>
      <c r="F177" s="5">
        <v>-3.0488056888373599E-3</v>
      </c>
    </row>
    <row r="178" spans="1:6">
      <c r="A178" s="7">
        <v>45551</v>
      </c>
      <c r="B178" s="5">
        <v>1.7482597425445098E-2</v>
      </c>
      <c r="C178" s="5">
        <v>-3.0674902147463899E-3</v>
      </c>
      <c r="D178" s="5">
        <v>1.58155994877762E-3</v>
      </c>
      <c r="E178" s="5">
        <v>-1.0706710355556599E-2</v>
      </c>
      <c r="F178" s="5">
        <v>6.1161804428495597E-3</v>
      </c>
    </row>
    <row r="179" spans="1:6">
      <c r="A179" s="7">
        <v>45552</v>
      </c>
      <c r="B179" s="5">
        <v>2.4055022311732E-2</v>
      </c>
      <c r="C179" s="5">
        <v>6.1538573266250998E-3</v>
      </c>
      <c r="D179" s="5">
        <v>0</v>
      </c>
      <c r="E179" s="5">
        <v>4.3292281009066399E-3</v>
      </c>
      <c r="F179" s="5">
        <v>1.21580781051973E-2</v>
      </c>
    </row>
    <row r="180" spans="1:6">
      <c r="A180" s="7">
        <v>45553</v>
      </c>
      <c r="B180" s="5">
        <v>-2.01342006453584E-2</v>
      </c>
      <c r="C180" s="5">
        <v>9.1742500260862999E-3</v>
      </c>
      <c r="D180" s="5">
        <v>2.63151209385093E-3</v>
      </c>
      <c r="E180" s="5">
        <v>1.07758257120032E-2</v>
      </c>
      <c r="F180" s="5">
        <v>0</v>
      </c>
    </row>
    <row r="181" spans="1:6">
      <c r="A181" s="7">
        <v>45554</v>
      </c>
      <c r="B181" s="5">
        <v>4.4520471546576297E-2</v>
      </c>
      <c r="C181" s="5">
        <v>0</v>
      </c>
      <c r="D181" s="5">
        <v>1.049864294147E-2</v>
      </c>
      <c r="E181" s="5">
        <v>1.4925450879307099E-2</v>
      </c>
      <c r="F181" s="5">
        <v>1.5015062761570599E-2</v>
      </c>
    </row>
    <row r="182" spans="1:6">
      <c r="A182" s="7">
        <v>45555</v>
      </c>
      <c r="B182" s="5">
        <v>-3.9344210246027501E-2</v>
      </c>
      <c r="C182" s="5">
        <v>0</v>
      </c>
      <c r="D182" s="5">
        <v>1.2986903491759801E-2</v>
      </c>
      <c r="E182" s="5">
        <v>-1.4705957828110501E-2</v>
      </c>
      <c r="F182" s="5">
        <v>5.9171328970053496E-3</v>
      </c>
    </row>
    <row r="183" spans="1:6">
      <c r="A183" s="7">
        <v>45558</v>
      </c>
      <c r="B183" s="5">
        <v>3.4129503864495101E-3</v>
      </c>
      <c r="C183" s="5">
        <v>0</v>
      </c>
      <c r="D183" s="5">
        <v>1.17949422483439E-2</v>
      </c>
      <c r="E183" s="5">
        <v>6.3966521780913803E-3</v>
      </c>
      <c r="F183" s="5">
        <v>-2.0588255207491E-2</v>
      </c>
    </row>
    <row r="184" spans="1:6">
      <c r="A184" s="7">
        <v>45559</v>
      </c>
      <c r="B184" s="5">
        <v>2.0408135545681098E-2</v>
      </c>
      <c r="C184" s="5">
        <v>1.5152709552621599E-3</v>
      </c>
      <c r="D184" s="5">
        <v>-1.5965419954803901E-2</v>
      </c>
      <c r="E184" s="5">
        <v>-1.4830690415516899E-2</v>
      </c>
      <c r="F184" s="5">
        <v>0</v>
      </c>
    </row>
    <row r="185" spans="1:6">
      <c r="A185" s="7">
        <v>45560</v>
      </c>
      <c r="B185" s="5">
        <v>-1.33333433165566E-2</v>
      </c>
      <c r="C185" s="5">
        <v>-7.5643485440794996E-3</v>
      </c>
      <c r="D185" s="5">
        <v>-1.18465789854804E-2</v>
      </c>
      <c r="E185" s="5">
        <v>-1.0752546366509699E-2</v>
      </c>
      <c r="F185" s="5">
        <v>-1.2012034847321201E-2</v>
      </c>
    </row>
    <row r="186" spans="1:6">
      <c r="A186" s="7">
        <v>45561</v>
      </c>
      <c r="B186" s="5">
        <v>1.3513523768376799E-2</v>
      </c>
      <c r="C186" s="5">
        <v>1.06707900117082E-2</v>
      </c>
      <c r="D186" s="5">
        <v>-1.8244386000493299E-3</v>
      </c>
      <c r="E186" s="5">
        <v>-2.17407915408285E-3</v>
      </c>
      <c r="F186" s="5">
        <v>-2.1276539504677301E-2</v>
      </c>
    </row>
    <row r="187" spans="1:6">
      <c r="A187" s="7">
        <v>45562</v>
      </c>
      <c r="B187" s="5">
        <v>2.6666603439586399E-2</v>
      </c>
      <c r="C187" s="5">
        <v>3.0165965046207201E-3</v>
      </c>
      <c r="D187" s="5">
        <v>-1.8276521863936902E-2</v>
      </c>
      <c r="E187" s="5">
        <v>6.5359051161932901E-3</v>
      </c>
      <c r="F187" s="5">
        <v>-3.10553628407995E-3</v>
      </c>
    </row>
    <row r="188" spans="1:6">
      <c r="A188" s="7">
        <v>45565</v>
      </c>
      <c r="B188" s="5">
        <v>1.2987023510735199E-2</v>
      </c>
      <c r="C188" s="5">
        <v>2.2556391557575502E-2</v>
      </c>
      <c r="D188" s="5">
        <v>1.19678365723497E-2</v>
      </c>
      <c r="E188" s="5">
        <v>8.6580245416092404E-3</v>
      </c>
      <c r="F188" s="5">
        <v>9.3457914137922201E-3</v>
      </c>
    </row>
    <row r="189" spans="1:6">
      <c r="A189" s="7">
        <v>45566</v>
      </c>
      <c r="B189" s="5">
        <v>-1.2820523076125599E-2</v>
      </c>
      <c r="C189" s="5">
        <v>-7.3529162095632402E-3</v>
      </c>
      <c r="D189" s="5">
        <v>-4.2049317598759099E-3</v>
      </c>
      <c r="E189" s="5">
        <v>-4.2916393221279501E-3</v>
      </c>
      <c r="F189" s="5">
        <v>-3.08644509290201E-3</v>
      </c>
    </row>
    <row r="190" spans="1:6">
      <c r="A190" s="7">
        <v>45567</v>
      </c>
      <c r="B190" s="5">
        <v>2.2727392434612501E-2</v>
      </c>
      <c r="C190" s="5">
        <v>-1.48159803700232E-3</v>
      </c>
      <c r="D190" s="5">
        <v>-3.16707153469575E-3</v>
      </c>
      <c r="E190" s="5">
        <v>1.07758257120032E-2</v>
      </c>
      <c r="F190" s="5">
        <v>-6.1919222706402497E-3</v>
      </c>
    </row>
    <row r="191" spans="1:6">
      <c r="A191" s="7">
        <v>45568</v>
      </c>
      <c r="B191" s="5">
        <v>-1.90476718689029E-2</v>
      </c>
      <c r="C191" s="5">
        <v>-1.33530259329795E-2</v>
      </c>
      <c r="D191" s="5">
        <v>1.85342102725472E-3</v>
      </c>
      <c r="E191" s="5">
        <v>-6.3967584824500302E-3</v>
      </c>
      <c r="F191" s="5">
        <v>0</v>
      </c>
    </row>
    <row r="192" spans="1:6">
      <c r="A192" s="7">
        <v>45569</v>
      </c>
      <c r="B192" s="5">
        <v>9.7086845399207995E-3</v>
      </c>
      <c r="C192" s="5">
        <v>-7.5189257817699397E-3</v>
      </c>
      <c r="D192" s="5">
        <v>5.2853896514069004E-3</v>
      </c>
      <c r="E192" s="5">
        <v>6.4379404325212199E-3</v>
      </c>
      <c r="F192" s="5">
        <v>-6.2305807299007903E-3</v>
      </c>
    </row>
    <row r="193" spans="1:6">
      <c r="A193" s="7">
        <v>45572</v>
      </c>
      <c r="B193" s="5">
        <v>-1.9230744617298599E-2</v>
      </c>
      <c r="C193" s="5">
        <v>-3.03023094218902E-3</v>
      </c>
      <c r="D193" s="5">
        <v>8.4120732333987699E-3</v>
      </c>
      <c r="E193" s="5">
        <v>-6.3967584824500302E-3</v>
      </c>
      <c r="F193" s="5">
        <v>-6.2694838933148303E-3</v>
      </c>
    </row>
    <row r="194" spans="1:6">
      <c r="A194" s="7">
        <v>45573</v>
      </c>
      <c r="B194" s="5">
        <v>-9.8038679934022693E-3</v>
      </c>
      <c r="C194" s="5">
        <v>-1.21580765167496E-2</v>
      </c>
      <c r="D194" s="5">
        <v>-2.6067065548451802E-4</v>
      </c>
      <c r="E194" s="5">
        <v>2.14598014417366E-3</v>
      </c>
      <c r="F194" s="5">
        <v>3.1545191536825898E-3</v>
      </c>
    </row>
    <row r="195" spans="1:6">
      <c r="A195" s="7">
        <v>45574</v>
      </c>
      <c r="B195" s="5">
        <v>-6.6007060082527999E-3</v>
      </c>
      <c r="C195" s="5">
        <v>-1.53850380071219E-3</v>
      </c>
      <c r="D195" s="5">
        <v>1.1734117395915801E-2</v>
      </c>
      <c r="E195" s="5">
        <v>8.5654323402266606E-3</v>
      </c>
      <c r="F195" s="5">
        <v>0</v>
      </c>
    </row>
    <row r="196" spans="1:6">
      <c r="A196" s="7">
        <v>45575</v>
      </c>
      <c r="B196" s="5">
        <v>0</v>
      </c>
      <c r="C196" s="5">
        <v>-1.5407953821519099E-3</v>
      </c>
      <c r="D196" s="5">
        <v>-1.5462874162821599E-3</v>
      </c>
      <c r="E196" s="5">
        <v>-8.4926887890177695E-3</v>
      </c>
      <c r="F196" s="5">
        <v>-6.2893597744794203E-3</v>
      </c>
    </row>
    <row r="197" spans="1:6">
      <c r="A197" s="7">
        <v>45576</v>
      </c>
      <c r="B197" s="5">
        <v>3.3222409550461899E-3</v>
      </c>
      <c r="C197" s="5">
        <v>-1.54317309613228E-3</v>
      </c>
      <c r="D197" s="5">
        <v>-1.2907860704356501E-3</v>
      </c>
      <c r="E197" s="5">
        <v>0</v>
      </c>
      <c r="F197" s="5">
        <v>-3.1645021469822701E-3</v>
      </c>
    </row>
    <row r="198" spans="1:6">
      <c r="A198" s="7">
        <v>45579</v>
      </c>
      <c r="B198" s="5">
        <v>0</v>
      </c>
      <c r="C198" s="5">
        <v>-9.2735868718042402E-3</v>
      </c>
      <c r="D198" s="5">
        <v>1.13725523096984E-2</v>
      </c>
      <c r="E198" s="5">
        <v>0</v>
      </c>
      <c r="F198" s="5">
        <v>0</v>
      </c>
    </row>
    <row r="199" spans="1:6">
      <c r="A199" s="7">
        <v>45580</v>
      </c>
      <c r="B199" s="5">
        <v>-6.6224804343694198E-3</v>
      </c>
      <c r="C199" s="5">
        <v>-3.1201304244774502E-3</v>
      </c>
      <c r="D199" s="5">
        <v>6.9000415092741497E-3</v>
      </c>
      <c r="E199" s="5">
        <v>-8.56521882095518E-3</v>
      </c>
      <c r="F199" s="5">
        <v>6.3492584195434798E-3</v>
      </c>
    </row>
    <row r="200" spans="1:6">
      <c r="A200" s="7">
        <v>45581</v>
      </c>
      <c r="B200" s="5">
        <v>-1.0000028285799E-2</v>
      </c>
      <c r="C200" s="5">
        <v>9.3896883256536796E-3</v>
      </c>
      <c r="D200" s="5">
        <v>-1.0152454802755799E-2</v>
      </c>
      <c r="E200" s="5">
        <v>-2.1599923416593101E-3</v>
      </c>
      <c r="F200" s="5">
        <v>0</v>
      </c>
    </row>
    <row r="201" spans="1:6">
      <c r="A201" s="7">
        <v>45582</v>
      </c>
      <c r="B201" s="5">
        <v>1.0101038961126199E-2</v>
      </c>
      <c r="C201" s="5">
        <v>3.10078074380082E-3</v>
      </c>
      <c r="D201" s="5">
        <v>1.33334082767591E-2</v>
      </c>
      <c r="E201" s="5">
        <v>1.9480717091197301E-2</v>
      </c>
      <c r="F201" s="5">
        <v>2.5236475975435099E-2</v>
      </c>
    </row>
    <row r="202" spans="1:6">
      <c r="A202" s="7">
        <v>45583</v>
      </c>
      <c r="B202" s="5">
        <v>0</v>
      </c>
      <c r="C202" s="5">
        <v>4.6367537838378804E-3</v>
      </c>
      <c r="D202" s="5">
        <v>4.5547754954358101E-3</v>
      </c>
      <c r="E202" s="5">
        <v>2.1231351487186498E-2</v>
      </c>
      <c r="F202" s="5">
        <v>3.0769485031976202E-3</v>
      </c>
    </row>
    <row r="203" spans="1:6">
      <c r="A203" s="7">
        <v>45586</v>
      </c>
      <c r="B203" s="5">
        <v>-6.6666300615149101E-3</v>
      </c>
      <c r="C203" s="5">
        <v>0</v>
      </c>
      <c r="D203" s="5">
        <v>-1.36021583702469E-2</v>
      </c>
      <c r="E203" s="5">
        <v>-2.0789952694135298E-2</v>
      </c>
      <c r="F203" s="5">
        <v>-1.2269961273442299E-2</v>
      </c>
    </row>
    <row r="204" spans="1:6">
      <c r="A204" s="7">
        <v>45587</v>
      </c>
      <c r="B204" s="5">
        <v>-6.7114560496990298E-3</v>
      </c>
      <c r="C204" s="5">
        <v>-1.6923068179163E-2</v>
      </c>
      <c r="D204" s="5">
        <v>-4.5964326136798102E-3</v>
      </c>
      <c r="E204" s="5">
        <v>-2.1231986604942602E-3</v>
      </c>
      <c r="F204" s="5">
        <v>-6.2111520017665801E-3</v>
      </c>
    </row>
    <row r="205" spans="1:6">
      <c r="A205" s="7">
        <v>45588</v>
      </c>
      <c r="B205" s="5">
        <v>-1.0135079587959299E-2</v>
      </c>
      <c r="C205" s="5">
        <v>1.56498820276729E-3</v>
      </c>
      <c r="D205" s="5">
        <v>5.1308145193733603E-3</v>
      </c>
      <c r="E205" s="5">
        <v>2.1277162247326201E-3</v>
      </c>
      <c r="F205" s="5">
        <v>-6.2499715249145797E-3</v>
      </c>
    </row>
    <row r="206" spans="1:6">
      <c r="A206" s="7">
        <v>45589</v>
      </c>
      <c r="B206" s="5">
        <v>-1.02389363404299E-2</v>
      </c>
      <c r="C206" s="5">
        <v>9.3750165353752007E-3</v>
      </c>
      <c r="D206" s="5">
        <v>3.0626881094644202E-3</v>
      </c>
      <c r="E206" s="5">
        <v>-2.1231986604942602E-3</v>
      </c>
      <c r="F206" s="5">
        <v>6.2892793417124197E-3</v>
      </c>
    </row>
    <row r="207" spans="1:6">
      <c r="A207" s="7">
        <v>45590</v>
      </c>
      <c r="B207" s="5">
        <v>-1.0344856669317899E-2</v>
      </c>
      <c r="C207" s="5">
        <v>1.5479506075959399E-3</v>
      </c>
      <c r="D207" s="5">
        <v>-3.81675131412007E-3</v>
      </c>
      <c r="E207" s="5">
        <v>4.2554324494652497E-3</v>
      </c>
      <c r="F207" s="5">
        <v>3.12502572748952E-3</v>
      </c>
    </row>
    <row r="208" spans="1:6">
      <c r="A208" s="7">
        <v>45593</v>
      </c>
      <c r="B208" s="5">
        <v>-6.9686898984737703E-3</v>
      </c>
      <c r="C208" s="5">
        <v>-1.5455581599030899E-3</v>
      </c>
      <c r="D208" s="5">
        <v>-1.7878743698454E-3</v>
      </c>
      <c r="E208" s="5">
        <v>-1.05933955662358E-2</v>
      </c>
      <c r="F208" s="5">
        <v>-3.1152903649503999E-3</v>
      </c>
    </row>
    <row r="209" spans="1:6">
      <c r="A209" s="7">
        <v>45594</v>
      </c>
      <c r="B209" s="5">
        <v>-3.5087528790435098E-3</v>
      </c>
      <c r="C209" s="5">
        <v>4.6438518227875899E-3</v>
      </c>
      <c r="D209" s="5">
        <v>5.3735533798857701E-3</v>
      </c>
      <c r="E209" s="5">
        <v>-6.4238340459894499E-3</v>
      </c>
      <c r="F209" s="5">
        <v>-6.2499715249145797E-3</v>
      </c>
    </row>
    <row r="210" spans="1:6">
      <c r="A210" s="7">
        <v>45595</v>
      </c>
      <c r="B210" s="5">
        <v>-1.05633227261582E-2</v>
      </c>
      <c r="C210" s="5">
        <v>-4.6223861464556003E-3</v>
      </c>
      <c r="D210" s="5">
        <v>-1.6034712496500899E-2</v>
      </c>
      <c r="E210" s="5">
        <v>-2.1551866323758301E-2</v>
      </c>
      <c r="F210" s="5">
        <v>-1.5723319003431602E-2</v>
      </c>
    </row>
    <row r="211" spans="1:6">
      <c r="A211" s="7">
        <v>45597</v>
      </c>
      <c r="B211" s="5">
        <v>1.06760977925975E-2</v>
      </c>
      <c r="C211" s="5">
        <v>-3.09590121519165E-3</v>
      </c>
      <c r="D211" s="5">
        <v>2.3279397476982898E-3</v>
      </c>
      <c r="E211" s="5">
        <v>0</v>
      </c>
      <c r="F211" s="5">
        <v>-9.5848253612328405E-3</v>
      </c>
    </row>
    <row r="212" spans="1:6">
      <c r="A212" s="7">
        <v>45600</v>
      </c>
      <c r="B212" s="5">
        <v>1.0563410606647901E-2</v>
      </c>
      <c r="C212" s="5">
        <v>3.1055155846639901E-3</v>
      </c>
      <c r="D212" s="5">
        <v>8.0002227995525903E-3</v>
      </c>
      <c r="E212" s="5">
        <v>-2.2025921336811301E-3</v>
      </c>
      <c r="F212" s="5">
        <v>6.4517497075899898E-3</v>
      </c>
    </row>
    <row r="213" spans="1:6">
      <c r="A213" s="7">
        <v>45601</v>
      </c>
      <c r="B213" s="5">
        <v>1.39372928350718E-2</v>
      </c>
      <c r="C213" s="5">
        <v>3.09590121519165E-3</v>
      </c>
      <c r="D213" s="5">
        <v>7.6788933932170301E-4</v>
      </c>
      <c r="E213" s="5">
        <v>2.2074542550587499E-3</v>
      </c>
      <c r="F213" s="5">
        <v>1.2820536993972001E-2</v>
      </c>
    </row>
    <row r="214" spans="1:6">
      <c r="A214" s="7">
        <v>45602</v>
      </c>
      <c r="B214" s="5">
        <v>0</v>
      </c>
      <c r="C214" s="5">
        <v>3.08642537401305E-3</v>
      </c>
      <c r="D214" s="5">
        <v>1.53492380326781E-3</v>
      </c>
      <c r="E214" s="5">
        <v>2.4229062553638499E-2</v>
      </c>
      <c r="F214" s="5">
        <v>1.5822834502268401E-2</v>
      </c>
    </row>
    <row r="215" spans="1:6">
      <c r="A215" s="7">
        <v>45603</v>
      </c>
      <c r="B215" s="5">
        <v>-3.7800737094646999E-2</v>
      </c>
      <c r="C215" s="5">
        <v>-1.53850380071219E-3</v>
      </c>
      <c r="D215" s="5">
        <v>6.5134016280381499E-2</v>
      </c>
      <c r="E215" s="5">
        <v>1.50539509008578E-2</v>
      </c>
      <c r="F215" s="5">
        <v>-3.1152903649503999E-3</v>
      </c>
    </row>
    <row r="216" spans="1:6">
      <c r="A216" s="7">
        <v>45604</v>
      </c>
      <c r="B216" s="5">
        <v>-3.5714091525304E-3</v>
      </c>
      <c r="C216" s="5">
        <v>-6.1632605883531503E-3</v>
      </c>
      <c r="D216" s="5">
        <v>1.67866536540076E-2</v>
      </c>
      <c r="E216" s="5">
        <v>-8.4746953272508696E-3</v>
      </c>
      <c r="F216" s="5">
        <v>1.56249687773187E-2</v>
      </c>
    </row>
    <row r="217" spans="1:6">
      <c r="A217" s="7">
        <v>45607</v>
      </c>
      <c r="B217" s="5">
        <v>1.43369287847286E-2</v>
      </c>
      <c r="C217" s="5">
        <v>-2.4806245950406099E-2</v>
      </c>
      <c r="D217" s="5">
        <v>8.2548565026816494E-3</v>
      </c>
      <c r="E217" s="5">
        <v>4.27351155771016E-3</v>
      </c>
      <c r="F217" s="5">
        <v>-1.5384585115241E-2</v>
      </c>
    </row>
    <row r="218" spans="1:6">
      <c r="A218" s="7">
        <v>45608</v>
      </c>
      <c r="B218" s="5">
        <v>-3.5335495835928702E-3</v>
      </c>
      <c r="C218" s="5">
        <v>-1.58970567685957E-3</v>
      </c>
      <c r="D218" s="5">
        <v>-9.5907843271635408E-3</v>
      </c>
      <c r="E218" s="5">
        <v>4.2554324494652497E-3</v>
      </c>
      <c r="F218" s="5">
        <v>-1.2500022979893499E-2</v>
      </c>
    </row>
    <row r="219" spans="1:6">
      <c r="A219" s="7">
        <v>45609</v>
      </c>
      <c r="B219" s="5">
        <v>-7.0922481687688598E-3</v>
      </c>
      <c r="C219" s="5">
        <v>-9.5542382235708195E-3</v>
      </c>
      <c r="D219" s="5">
        <v>1.03921602791792E-2</v>
      </c>
      <c r="E219" s="5">
        <v>6.3557838308885301E-3</v>
      </c>
      <c r="F219" s="5">
        <v>9.4936683246253893E-3</v>
      </c>
    </row>
    <row r="220" spans="1:6">
      <c r="A220" s="7">
        <v>45610</v>
      </c>
      <c r="B220" s="5">
        <v>-7.1428183050608104E-3</v>
      </c>
      <c r="C220" s="5">
        <v>6.4309623296352498E-3</v>
      </c>
      <c r="D220" s="5">
        <v>1.8465917909173301E-2</v>
      </c>
      <c r="E220" s="5">
        <v>-1.05262815388543E-2</v>
      </c>
      <c r="F220" s="5">
        <v>-3.1347419466574199E-3</v>
      </c>
    </row>
    <row r="221" spans="1:6">
      <c r="A221" s="7">
        <v>45611</v>
      </c>
      <c r="B221" s="5">
        <v>-3.5971026028471802E-3</v>
      </c>
      <c r="C221" s="5">
        <v>1.1182004926721299E-2</v>
      </c>
      <c r="D221" s="5">
        <v>-1.85980448928669E-3</v>
      </c>
      <c r="E221" s="5">
        <v>2.1277162247326201E-3</v>
      </c>
      <c r="F221" s="5">
        <v>-6.2893597744794203E-3</v>
      </c>
    </row>
    <row r="222" spans="1:6">
      <c r="A222" s="7">
        <v>45614</v>
      </c>
      <c r="B222" s="5">
        <v>7.2201769228967799E-3</v>
      </c>
      <c r="C222" s="5">
        <v>0</v>
      </c>
      <c r="D222" s="5">
        <v>-1.2575568715562299E-2</v>
      </c>
      <c r="E222" s="5">
        <v>-5.5201894937338701E-2</v>
      </c>
      <c r="F222" s="5">
        <v>-6.3290042939645498E-3</v>
      </c>
    </row>
    <row r="223" spans="1:6">
      <c r="A223" s="7">
        <v>45615</v>
      </c>
      <c r="B223" s="5">
        <v>7.1685091200683901E-3</v>
      </c>
      <c r="C223" s="5">
        <v>3.1595634243510901E-3</v>
      </c>
      <c r="D223" s="5">
        <v>4.0094084939536999E-3</v>
      </c>
      <c r="E223" s="5">
        <v>2.9213705207207501E-2</v>
      </c>
      <c r="F223" s="5">
        <v>2.8662328029208699E-2</v>
      </c>
    </row>
    <row r="224" spans="1:6">
      <c r="A224" s="7">
        <v>45616</v>
      </c>
      <c r="B224" s="5">
        <v>7.1173985283983204E-3</v>
      </c>
      <c r="C224" s="5">
        <v>0</v>
      </c>
      <c r="D224" s="5">
        <v>-8.45651409128945E-3</v>
      </c>
      <c r="E224" s="5">
        <v>-2.1834641074989199E-3</v>
      </c>
      <c r="F224" s="5">
        <v>-3.50207515275103E-3</v>
      </c>
    </row>
    <row r="225" spans="1:6">
      <c r="A225" s="7">
        <v>45617</v>
      </c>
      <c r="B225" s="5">
        <v>-1.41342865253912E-2</v>
      </c>
      <c r="C225" s="5">
        <v>-4.7242968339041898E-3</v>
      </c>
      <c r="D225" s="5">
        <v>8.29177388107993E-3</v>
      </c>
      <c r="E225" s="5">
        <v>8.7527500304922495E-3</v>
      </c>
      <c r="F225" s="5">
        <v>-2.23642685371475E-2</v>
      </c>
    </row>
    <row r="226" spans="1:6">
      <c r="A226" s="7">
        <v>45618</v>
      </c>
      <c r="B226" s="5">
        <v>0</v>
      </c>
      <c r="C226" s="5">
        <v>4.7467217564696202E-3</v>
      </c>
      <c r="D226" s="5">
        <v>-5.4040203501620797E-3</v>
      </c>
      <c r="E226" s="5">
        <v>1.51843531579328E-2</v>
      </c>
      <c r="F226" s="5">
        <v>0</v>
      </c>
    </row>
    <row r="227" spans="1:6">
      <c r="A227" s="7">
        <v>45621</v>
      </c>
      <c r="B227" s="5">
        <v>1.0752718952398399E-2</v>
      </c>
      <c r="C227" s="5">
        <v>-3.2000329675391198E-3</v>
      </c>
      <c r="D227" s="5">
        <v>-1.8899234630163099E-3</v>
      </c>
      <c r="E227" s="5">
        <v>-2.1367451257039899E-2</v>
      </c>
      <c r="F227" s="5">
        <v>-6.5359514312862696E-3</v>
      </c>
    </row>
    <row r="228" spans="1:6">
      <c r="A228" s="7">
        <v>45622</v>
      </c>
      <c r="B228" s="5">
        <v>-3.5460975332588303E-2</v>
      </c>
      <c r="C228" s="5">
        <v>9.6308370960376307E-3</v>
      </c>
      <c r="D228" s="5">
        <v>-1.27812372666422E-2</v>
      </c>
      <c r="E228" s="5">
        <v>2.2026230307674601E-3</v>
      </c>
      <c r="F228" s="5">
        <v>-6.5789511363825203E-3</v>
      </c>
    </row>
    <row r="229" spans="1:6">
      <c r="A229" s="7">
        <v>45623</v>
      </c>
      <c r="B229" s="5">
        <v>-1.47058931479488E-2</v>
      </c>
      <c r="C229" s="5">
        <v>0</v>
      </c>
      <c r="D229" s="5">
        <v>3.3565291602399901E-3</v>
      </c>
      <c r="E229" s="5">
        <v>-1.9780147925054201E-2</v>
      </c>
      <c r="F229" s="5">
        <v>3.31130136738089E-3</v>
      </c>
    </row>
    <row r="230" spans="1:6">
      <c r="A230" s="7">
        <v>45624</v>
      </c>
      <c r="B230" s="5">
        <v>2.2388029817429E-2</v>
      </c>
      <c r="C230" s="5">
        <v>4.7695647094765396E-3</v>
      </c>
      <c r="D230" s="5">
        <v>9.5581010627880901E-3</v>
      </c>
      <c r="E230" s="5">
        <v>8.9684165689043506E-3</v>
      </c>
      <c r="F230" s="5">
        <v>6.6006635879605202E-3</v>
      </c>
    </row>
    <row r="231" spans="1:6">
      <c r="A231" s="7">
        <v>45625</v>
      </c>
      <c r="B231" s="5">
        <v>-3.6496150902616299E-3</v>
      </c>
      <c r="C231" s="5">
        <v>-1.58233461878377E-3</v>
      </c>
      <c r="D231" s="5">
        <v>4.2603795831221997E-3</v>
      </c>
      <c r="E231" s="5">
        <v>0</v>
      </c>
      <c r="F231" s="5">
        <v>1.6393410537574898E-2</v>
      </c>
    </row>
    <row r="232" spans="1:6">
      <c r="A232" s="7">
        <v>45628</v>
      </c>
      <c r="B232" s="5">
        <v>7.3260585622092504E-3</v>
      </c>
      <c r="C232" s="5">
        <v>1.5848423697306701E-3</v>
      </c>
      <c r="D232" s="5">
        <v>2.8281057342103301E-3</v>
      </c>
      <c r="E232" s="5">
        <v>6.6667164540707997E-3</v>
      </c>
      <c r="F232" s="5">
        <v>9.6774649076158993E-3</v>
      </c>
    </row>
    <row r="233" spans="1:6">
      <c r="A233" s="7">
        <v>45629</v>
      </c>
      <c r="B233" s="5">
        <v>3.6363435049062698E-3</v>
      </c>
      <c r="C233" s="5">
        <v>1.58217480314704E-3</v>
      </c>
      <c r="D233" s="5">
        <v>2.2561725623419002E-2</v>
      </c>
      <c r="E233" s="5">
        <v>4.4150801569045103E-3</v>
      </c>
      <c r="F233" s="5">
        <v>0</v>
      </c>
    </row>
    <row r="234" spans="1:6">
      <c r="A234" s="7">
        <v>45630</v>
      </c>
      <c r="B234" s="5">
        <v>3.6231684199550299E-3</v>
      </c>
      <c r="C234" s="5">
        <v>0</v>
      </c>
      <c r="D234" s="5">
        <v>7.1246966364517704E-3</v>
      </c>
      <c r="E234" s="5">
        <v>8.7911285807915594E-3</v>
      </c>
      <c r="F234" s="5">
        <v>9.5846297545090203E-3</v>
      </c>
    </row>
    <row r="235" spans="1:6">
      <c r="A235" s="7">
        <v>45631</v>
      </c>
      <c r="B235" s="5">
        <v>-3.6100884614483899E-3</v>
      </c>
      <c r="C235" s="5">
        <v>3.1595903055794401E-3</v>
      </c>
      <c r="D235" s="5">
        <v>1.0041041280364E-2</v>
      </c>
      <c r="E235" s="5">
        <v>-2.1786295328447601E-3</v>
      </c>
      <c r="F235" s="5">
        <v>-1.26582348225428E-2</v>
      </c>
    </row>
    <row r="236" spans="1:6">
      <c r="A236" s="7">
        <v>45632</v>
      </c>
      <c r="B236" s="5">
        <v>-1.4492764107564501E-2</v>
      </c>
      <c r="C236" s="5">
        <v>0</v>
      </c>
      <c r="D236" s="5">
        <v>-1.3104366786847701E-2</v>
      </c>
      <c r="E236" s="5">
        <v>0</v>
      </c>
      <c r="F236" s="5">
        <v>-2.88461300832594E-2</v>
      </c>
    </row>
    <row r="237" spans="1:6">
      <c r="A237" s="7">
        <v>45635</v>
      </c>
      <c r="B237" s="5">
        <v>-3.6764503475960101E-3</v>
      </c>
      <c r="C237" s="5">
        <v>6.2991979448097099E-3</v>
      </c>
      <c r="D237" s="5">
        <v>-6.8676959856706099E-4</v>
      </c>
      <c r="E237" s="5">
        <v>-6.5501589683073496E-3</v>
      </c>
      <c r="F237" s="5">
        <v>1.3201245087303999E-2</v>
      </c>
    </row>
    <row r="238" spans="1:6">
      <c r="A238" s="7">
        <v>45636</v>
      </c>
      <c r="B238" s="5">
        <v>-3.6900165100771701E-3</v>
      </c>
      <c r="C238" s="5">
        <v>3.1299227347003598E-3</v>
      </c>
      <c r="D238" s="5">
        <v>8.0183269505784693E-3</v>
      </c>
      <c r="E238" s="5">
        <v>-4.3956729086691597E-3</v>
      </c>
      <c r="F238" s="5">
        <v>0</v>
      </c>
    </row>
    <row r="239" spans="1:6">
      <c r="A239" s="7">
        <v>45637</v>
      </c>
      <c r="B239" s="5">
        <v>-1.8518508247713301E-2</v>
      </c>
      <c r="C239" s="5">
        <v>-4.6801171482886402E-3</v>
      </c>
      <c r="D239" s="5">
        <v>-7.2727699282694198E-3</v>
      </c>
      <c r="E239" s="5">
        <v>-1.10375367455134E-2</v>
      </c>
      <c r="F239" s="5">
        <v>0</v>
      </c>
    </row>
    <row r="240" spans="1:6">
      <c r="A240" s="7">
        <v>45638</v>
      </c>
      <c r="B240" s="5">
        <v>0</v>
      </c>
      <c r="C240" s="5">
        <v>1.5672953895868901E-3</v>
      </c>
      <c r="D240" s="5">
        <v>2.7471736862898499E-3</v>
      </c>
      <c r="E240" s="5">
        <v>1.11607236428277E-2</v>
      </c>
      <c r="F240" s="5">
        <v>3.2573714790531398E-3</v>
      </c>
    </row>
    <row r="241" spans="1:6">
      <c r="A241" s="7">
        <v>45639</v>
      </c>
      <c r="B241" s="5">
        <v>0</v>
      </c>
      <c r="C241" s="5">
        <v>4.6949236182833899E-3</v>
      </c>
      <c r="D241" s="5">
        <v>-1.36968115309044E-3</v>
      </c>
      <c r="E241" s="5">
        <v>0</v>
      </c>
      <c r="F241" s="5">
        <v>1.9480530492702802E-2</v>
      </c>
    </row>
    <row r="242" spans="1:6">
      <c r="A242" s="7">
        <v>45642</v>
      </c>
      <c r="B242" s="5">
        <v>-7.5472220553119999E-3</v>
      </c>
      <c r="C242" s="5">
        <v>-1.55768765900277E-3</v>
      </c>
      <c r="D242" s="5">
        <v>1.3031482972694301E-2</v>
      </c>
      <c r="E242" s="5">
        <v>-4.4148619612408603E-3</v>
      </c>
      <c r="F242" s="5">
        <v>3.1847547481402799E-3</v>
      </c>
    </row>
    <row r="243" spans="1:6">
      <c r="A243" s="7">
        <v>45643</v>
      </c>
      <c r="B243" s="5">
        <v>-7.6046157792432102E-3</v>
      </c>
      <c r="C243" s="5">
        <v>-3.1201568847310001E-3</v>
      </c>
      <c r="D243" s="5">
        <v>-2.25684015137029E-3</v>
      </c>
      <c r="E243" s="5">
        <v>2.2171649087217001E-3</v>
      </c>
      <c r="F243" s="5">
        <v>-6.3492096079320604E-3</v>
      </c>
    </row>
    <row r="244" spans="1:6">
      <c r="A244" s="7">
        <v>45644</v>
      </c>
      <c r="B244" s="5">
        <v>0</v>
      </c>
      <c r="C244" s="5">
        <v>-3.1298437022347901E-3</v>
      </c>
      <c r="D244" s="5">
        <v>-1.9000243847556698E-2</v>
      </c>
      <c r="E244" s="5">
        <v>1.10619558529874E-2</v>
      </c>
      <c r="F244" s="5">
        <v>9.5846297545090203E-3</v>
      </c>
    </row>
    <row r="245" spans="1:6">
      <c r="A245" s="7">
        <v>45645</v>
      </c>
      <c r="B245" s="5">
        <v>-1.9157079329525199E-2</v>
      </c>
      <c r="C245" s="5">
        <v>-1.56983518990006E-3</v>
      </c>
      <c r="D245" s="5">
        <v>6.91678484960212E-4</v>
      </c>
      <c r="E245" s="5">
        <v>4.3763278599315801E-3</v>
      </c>
      <c r="F245" s="5">
        <v>-1.89873522338142E-2</v>
      </c>
    </row>
    <row r="246" spans="1:6">
      <c r="A246" s="7">
        <v>45646</v>
      </c>
      <c r="B246" s="5">
        <v>-3.9062286735337399E-3</v>
      </c>
      <c r="C246" s="5">
        <v>3.1446862996158398E-3</v>
      </c>
      <c r="D246" s="5">
        <v>-1.3363847044746699E-2</v>
      </c>
      <c r="E246" s="5">
        <v>-1.30718848687859E-2</v>
      </c>
      <c r="F246" s="5">
        <v>6.4516165267420903E-3</v>
      </c>
    </row>
    <row r="247" spans="1:6">
      <c r="A247" s="7">
        <v>45649</v>
      </c>
      <c r="B247" s="5">
        <v>1.5686286408301602E-2</v>
      </c>
      <c r="C247" s="5">
        <v>0</v>
      </c>
      <c r="D247" s="5">
        <v>1.2610710180155599E-2</v>
      </c>
      <c r="E247" s="5">
        <v>4.4150801569045103E-3</v>
      </c>
      <c r="F247" s="5">
        <v>-6.4102599874663602E-3</v>
      </c>
    </row>
    <row r="248" spans="1:6">
      <c r="A248" s="7">
        <v>45650</v>
      </c>
      <c r="B248" s="5">
        <v>3.8609826536679698E-3</v>
      </c>
      <c r="C248" s="5">
        <v>1.5672953895868901E-3</v>
      </c>
      <c r="D248" s="5">
        <v>5.5350882935858402E-3</v>
      </c>
      <c r="E248" s="5">
        <v>0</v>
      </c>
      <c r="F248" s="5">
        <v>0</v>
      </c>
    </row>
    <row r="249" spans="1:6">
      <c r="A249" s="7">
        <v>45652</v>
      </c>
      <c r="B249" s="5">
        <v>3.8461328016370401E-3</v>
      </c>
      <c r="C249" s="5">
        <v>4.6949236182833899E-3</v>
      </c>
      <c r="D249" s="5">
        <v>-1.37596400058881E-3</v>
      </c>
      <c r="E249" s="5">
        <v>2.1977821451979501E-3</v>
      </c>
      <c r="F249" s="5">
        <v>-3.2258483808737001E-3</v>
      </c>
    </row>
    <row r="250" spans="1:6">
      <c r="A250" s="7">
        <v>45653</v>
      </c>
      <c r="B250" s="5">
        <v>0</v>
      </c>
      <c r="C250" s="5">
        <v>6.2305146465668803E-3</v>
      </c>
      <c r="D250" s="5">
        <v>2.2943618447635001E-4</v>
      </c>
      <c r="E250" s="5">
        <v>8.7719583456344896E-3</v>
      </c>
      <c r="F250" s="5">
        <v>3.2362881557810299E-3</v>
      </c>
    </row>
    <row r="251" spans="1:6">
      <c r="A251" s="7">
        <v>45656</v>
      </c>
      <c r="B251" s="5">
        <v>1.5325778213316699E-2</v>
      </c>
      <c r="C251" s="5">
        <v>1.54796438110583E-3</v>
      </c>
      <c r="D251" s="5">
        <v>6.8885793272850399E-3</v>
      </c>
      <c r="E251" s="5">
        <v>6.5217870102523001E-3</v>
      </c>
      <c r="F251" s="5">
        <v>0</v>
      </c>
    </row>
    <row r="252" spans="1:6">
      <c r="A252" s="7">
        <v>45657</v>
      </c>
      <c r="B252" s="5">
        <v>-1.13208801736403E-2</v>
      </c>
      <c r="C252" s="5">
        <v>-4.6367156726110402E-3</v>
      </c>
      <c r="D252" s="5">
        <v>-2.9644327866835702E-3</v>
      </c>
      <c r="E252" s="5">
        <v>6.4793154198334903E-3</v>
      </c>
      <c r="F252" s="5">
        <v>-6.4516165267421996E-3</v>
      </c>
    </row>
    <row r="253" spans="1:6">
      <c r="A253" s="7">
        <v>45659</v>
      </c>
      <c r="B253" s="5">
        <v>1.14505100255669E-2</v>
      </c>
      <c r="C253" s="5">
        <v>1.55269323267282E-3</v>
      </c>
      <c r="D253" s="5">
        <v>5.4894151748308096E-3</v>
      </c>
      <c r="E253" s="5">
        <v>-2.14590340210641E-3</v>
      </c>
      <c r="F253" s="5">
        <v>3.2467147041110901E-3</v>
      </c>
    </row>
    <row r="254" spans="1:6">
      <c r="A254" s="7">
        <v>45660</v>
      </c>
      <c r="B254" s="5">
        <v>1.1320691810951E-2</v>
      </c>
      <c r="C254" s="5">
        <v>0</v>
      </c>
      <c r="D254" s="5">
        <v>-7.7342546316144798E-3</v>
      </c>
      <c r="E254" s="5">
        <v>1.0752697314615501E-2</v>
      </c>
      <c r="F254" s="5">
        <v>0</v>
      </c>
    </row>
    <row r="255" spans="1:6">
      <c r="A255" s="7">
        <v>45663</v>
      </c>
      <c r="B255" s="5">
        <v>-1.4925291126898201E-2</v>
      </c>
      <c r="C255" s="5">
        <v>3.10080711966543E-3</v>
      </c>
      <c r="D255" s="5">
        <v>7.56523790311969E-3</v>
      </c>
      <c r="E255" s="5">
        <v>4.25538581961482E-3</v>
      </c>
      <c r="F255" s="5">
        <v>-3.2362076611123199E-3</v>
      </c>
    </row>
    <row r="256" spans="1:6">
      <c r="A256" s="7">
        <v>45664</v>
      </c>
      <c r="B256" s="5">
        <v>-2.27274295745588E-2</v>
      </c>
      <c r="C256" s="5">
        <v>-7.7279375095958801E-3</v>
      </c>
      <c r="D256" s="5">
        <v>1.2514342132366799E-2</v>
      </c>
      <c r="E256" s="5">
        <v>-6.3559790105999197E-3</v>
      </c>
      <c r="F256" s="5">
        <v>-3.2467954601230801E-3</v>
      </c>
    </row>
    <row r="257" spans="1:6">
      <c r="A257" s="7">
        <v>45665</v>
      </c>
      <c r="B257" s="5">
        <v>-2.71317327026619E-2</v>
      </c>
      <c r="C257" s="5">
        <v>3.1152966548575502E-3</v>
      </c>
      <c r="D257" s="5">
        <v>2.11235309342017E-2</v>
      </c>
      <c r="E257" s="5">
        <v>2.1321768393791599E-3</v>
      </c>
      <c r="F257" s="5">
        <v>6.5146619390421502E-3</v>
      </c>
    </row>
    <row r="258" spans="1:6">
      <c r="A258" s="7">
        <v>45666</v>
      </c>
      <c r="B258" s="5">
        <v>-1.19521258697536E-2</v>
      </c>
      <c r="C258" s="5">
        <v>-3.1056217218959899E-3</v>
      </c>
      <c r="D258" s="5">
        <v>-9.6830637573170897E-3</v>
      </c>
      <c r="E258" s="5">
        <v>-4.2552806678734E-3</v>
      </c>
      <c r="F258" s="5">
        <v>-3.2362076611123199E-3</v>
      </c>
    </row>
    <row r="259" spans="1:6">
      <c r="A259" s="7">
        <v>45667</v>
      </c>
      <c r="B259" s="5">
        <v>-4.0323363830804303E-3</v>
      </c>
      <c r="C259" s="5">
        <v>-6.2305146465668803E-3</v>
      </c>
      <c r="D259" s="5">
        <v>-1.9333307249241E-2</v>
      </c>
      <c r="E259" s="5">
        <v>-8.5469309256844799E-3</v>
      </c>
      <c r="F259" s="5">
        <v>-3.2467954601230801E-3</v>
      </c>
    </row>
    <row r="260" spans="1:6">
      <c r="A260" s="7">
        <v>45670</v>
      </c>
      <c r="B260" s="5">
        <v>-8.0971218103827996E-3</v>
      </c>
      <c r="C260" s="5">
        <v>-9.4044055881837806E-3</v>
      </c>
      <c r="D260" s="5">
        <v>-1.35972151364094E-3</v>
      </c>
      <c r="E260" s="5">
        <v>-6.4655645287901003E-3</v>
      </c>
      <c r="F260" s="5">
        <v>1.6286695357137702E-2</v>
      </c>
    </row>
    <row r="261" spans="1:6">
      <c r="A261" s="7">
        <v>45671</v>
      </c>
      <c r="B261" s="5">
        <v>4.0816102001646204E-3</v>
      </c>
      <c r="C261" s="5">
        <v>-7.9114333704638495E-3</v>
      </c>
      <c r="D261" s="5">
        <v>-3.8574749793511801E-3</v>
      </c>
      <c r="E261" s="5">
        <v>6.5076400957593296E-3</v>
      </c>
      <c r="F261" s="5">
        <v>-3.20516985407204E-3</v>
      </c>
    </row>
    <row r="262" spans="1:6">
      <c r="A262" s="7">
        <v>45672</v>
      </c>
      <c r="B262" s="5">
        <v>1.6260174974250599E-2</v>
      </c>
      <c r="C262" s="5">
        <v>0</v>
      </c>
      <c r="D262" s="5">
        <v>-9.1115760602178408E-3</v>
      </c>
      <c r="E262" s="5">
        <v>1.9396480563471201E-2</v>
      </c>
      <c r="F262" s="5">
        <v>0</v>
      </c>
    </row>
    <row r="263" spans="1:6">
      <c r="A263" s="7">
        <v>45673</v>
      </c>
      <c r="B263" s="5">
        <v>-3.9999780369089901E-3</v>
      </c>
      <c r="C263" s="5">
        <v>1.59495298303813E-3</v>
      </c>
      <c r="D263" s="5">
        <v>6.4367234935001098E-3</v>
      </c>
      <c r="E263" s="5">
        <v>2.1140412019138299E-3</v>
      </c>
      <c r="F263" s="5">
        <v>3.2154760008165102E-3</v>
      </c>
    </row>
    <row r="264" spans="1:6">
      <c r="A264" s="7">
        <v>45674</v>
      </c>
      <c r="B264" s="5">
        <v>-8.0321844675083093E-3</v>
      </c>
      <c r="C264" s="5">
        <v>1.11464096117357E-2</v>
      </c>
      <c r="D264" s="5">
        <v>1.59877042232881E-3</v>
      </c>
      <c r="E264" s="5">
        <v>-2.1095814597891201E-3</v>
      </c>
      <c r="F264" s="5">
        <v>6.41025998746625E-3</v>
      </c>
    </row>
    <row r="265" spans="1:6">
      <c r="A265" s="7">
        <v>45677</v>
      </c>
      <c r="B265" s="5">
        <v>4.0486619499640096E-3</v>
      </c>
      <c r="C265" s="5">
        <v>0</v>
      </c>
      <c r="D265" s="5">
        <v>-5.24494824297794E-3</v>
      </c>
      <c r="E265" s="5">
        <v>-1.05708329184415E-2</v>
      </c>
      <c r="F265" s="5">
        <v>3.1847547481402799E-3</v>
      </c>
    </row>
    <row r="266" spans="1:6">
      <c r="A266" s="7">
        <v>45678</v>
      </c>
      <c r="B266" s="5">
        <v>4.0322357457542903E-3</v>
      </c>
      <c r="C266" s="5">
        <v>3.1496387375582499E-3</v>
      </c>
      <c r="D266" s="5">
        <v>-2.0635242952910002E-3</v>
      </c>
      <c r="E266" s="5">
        <v>8.5470365267881192E-3</v>
      </c>
      <c r="F266" s="5">
        <v>-6.3492096079320604E-3</v>
      </c>
    </row>
    <row r="267" spans="1:6">
      <c r="A267" s="7">
        <v>45679</v>
      </c>
      <c r="B267" s="5">
        <v>-1.60642687018543E-2</v>
      </c>
      <c r="C267" s="5">
        <v>-4.7095055697000702E-3</v>
      </c>
      <c r="D267" s="5">
        <v>-4.8239537526180197E-3</v>
      </c>
      <c r="E267" s="5">
        <v>-4.2373542424586396E-3</v>
      </c>
      <c r="F267" s="5">
        <v>-1.5974488878816102E-2</v>
      </c>
    </row>
    <row r="268" spans="1:6">
      <c r="A268" s="7">
        <v>45680</v>
      </c>
      <c r="B268" s="5">
        <v>-4.0816102001646204E-3</v>
      </c>
      <c r="C268" s="5">
        <v>-4.7319492723567596E-3</v>
      </c>
      <c r="D268" s="5">
        <v>1.1311093751951599E-2</v>
      </c>
      <c r="E268" s="5">
        <v>1.2766157458844201E-2</v>
      </c>
      <c r="F268" s="5">
        <v>9.7402248683455799E-3</v>
      </c>
    </row>
    <row r="269" spans="1:6">
      <c r="A269" s="7">
        <v>45681</v>
      </c>
      <c r="B269" s="5">
        <v>0</v>
      </c>
      <c r="C269" s="5">
        <v>0</v>
      </c>
      <c r="D269" s="5">
        <v>-6.8476966575080596E-3</v>
      </c>
      <c r="E269" s="5">
        <v>6.30246276971347E-3</v>
      </c>
      <c r="F269" s="5">
        <v>2.8938964099276501E-2</v>
      </c>
    </row>
    <row r="270" spans="1:6">
      <c r="A270" s="7">
        <v>45684</v>
      </c>
      <c r="B270" s="5">
        <v>0</v>
      </c>
      <c r="C270" s="5">
        <v>-4.7542870058132599E-3</v>
      </c>
      <c r="D270" s="5">
        <v>2.0683584775864601E-3</v>
      </c>
      <c r="E270" s="5">
        <v>1.46137476882124E-2</v>
      </c>
      <c r="F270" s="5">
        <v>0</v>
      </c>
    </row>
    <row r="271" spans="1:6">
      <c r="A271" s="7">
        <v>45685</v>
      </c>
      <c r="B271" s="5">
        <v>4.0983380184243003E-3</v>
      </c>
      <c r="C271" s="5">
        <v>0</v>
      </c>
      <c r="D271" s="5">
        <v>2.98171675781522E-3</v>
      </c>
      <c r="E271" s="5">
        <v>-1.02881750661544E-2</v>
      </c>
      <c r="F271" s="5">
        <v>1.8750010201755301E-2</v>
      </c>
    </row>
    <row r="272" spans="1:6">
      <c r="A272" s="7">
        <v>45688</v>
      </c>
      <c r="B272" s="5">
        <v>4.0816102001646204E-3</v>
      </c>
      <c r="C272" s="5">
        <v>1.2738822770655699E-2</v>
      </c>
      <c r="D272" s="5">
        <v>2.0123507636679701E-2</v>
      </c>
      <c r="E272" s="5">
        <v>6.23715533767699E-3</v>
      </c>
      <c r="F272" s="5">
        <v>2.1472365957459799E-2</v>
      </c>
    </row>
    <row r="273" spans="1:6">
      <c r="A273" s="7">
        <v>45691</v>
      </c>
      <c r="B273" s="5">
        <v>-1.6260073518729001E-2</v>
      </c>
      <c r="C273" s="5">
        <v>9.4339794935929307E-3</v>
      </c>
      <c r="D273" s="5">
        <v>-6.7249887800221496E-3</v>
      </c>
      <c r="E273" s="5">
        <v>4.13219343011062E-3</v>
      </c>
      <c r="F273" s="5">
        <v>-3.3033014191493099E-2</v>
      </c>
    </row>
    <row r="274" spans="1:6">
      <c r="A274" s="7">
        <v>45692</v>
      </c>
      <c r="B274" s="5">
        <v>1.6528833567718899E-2</v>
      </c>
      <c r="C274" s="5">
        <v>-7.7882023055696496E-3</v>
      </c>
      <c r="D274" s="5">
        <v>2.4824771979297098E-3</v>
      </c>
      <c r="E274" s="5">
        <v>-1.02881750661544E-2</v>
      </c>
      <c r="F274" s="5">
        <v>3.1055531189088099E-3</v>
      </c>
    </row>
    <row r="275" spans="1:6">
      <c r="A275" s="7">
        <v>45693</v>
      </c>
      <c r="B275" s="5">
        <v>-4.0650183796823204E-3</v>
      </c>
      <c r="C275" s="5">
        <v>-4.7095055697000702E-3</v>
      </c>
      <c r="D275" s="5">
        <v>-2.2511577663911798E-3</v>
      </c>
      <c r="E275" s="5">
        <v>2.0790860282335899E-3</v>
      </c>
      <c r="F275" s="5">
        <v>-6.1919540405139797E-3</v>
      </c>
    </row>
    <row r="276" spans="1:6">
      <c r="A276" s="7">
        <v>45694</v>
      </c>
      <c r="B276" s="5">
        <v>8.1632204003292408E-3</v>
      </c>
      <c r="C276" s="5">
        <v>-1.57742263177307E-3</v>
      </c>
      <c r="D276" s="5">
        <v>0</v>
      </c>
      <c r="E276" s="5">
        <v>2.07466986408211E-3</v>
      </c>
      <c r="F276" s="5">
        <v>6.2305332158343303E-3</v>
      </c>
    </row>
    <row r="277" spans="1:6">
      <c r="A277" s="7">
        <v>45695</v>
      </c>
      <c r="B277" s="5">
        <v>1.6194344665538402E-2</v>
      </c>
      <c r="C277" s="5">
        <v>3.1595903055794401E-3</v>
      </c>
      <c r="D277" s="5">
        <v>8.1226970633796504E-3</v>
      </c>
      <c r="E277" s="5">
        <v>3.5196878455591198E-2</v>
      </c>
      <c r="F277" s="5">
        <v>1.54798465984181E-2</v>
      </c>
    </row>
    <row r="278" spans="1:6">
      <c r="A278" s="7">
        <v>45698</v>
      </c>
      <c r="B278" s="5">
        <v>-1.9920309217418702E-2</v>
      </c>
      <c r="C278" s="5">
        <v>-4.7243388108771898E-3</v>
      </c>
      <c r="D278" s="5">
        <v>1.5667057034981498E-2</v>
      </c>
      <c r="E278" s="5">
        <v>-2.0000110703725801E-2</v>
      </c>
      <c r="F278" s="5">
        <v>9.146384928022E-3</v>
      </c>
    </row>
    <row r="279" spans="1:6">
      <c r="A279" s="7">
        <v>45699</v>
      </c>
      <c r="B279" s="5">
        <v>4.0650183796822103E-3</v>
      </c>
      <c r="C279" s="5">
        <v>6.32909875167997E-3</v>
      </c>
      <c r="D279" s="5">
        <v>-1.1679267161367499E-2</v>
      </c>
      <c r="E279" s="5">
        <v>8.16319038168478E-3</v>
      </c>
      <c r="F279" s="5">
        <v>9.0634116444923106E-3</v>
      </c>
    </row>
    <row r="280" spans="1:6">
      <c r="A280" s="7">
        <v>45700</v>
      </c>
      <c r="B280" s="5">
        <v>0</v>
      </c>
      <c r="C280" s="5">
        <v>4.7169103415418698E-3</v>
      </c>
      <c r="D280" s="5">
        <v>2.4525878946082299E-3</v>
      </c>
      <c r="E280" s="5">
        <v>4.0485461379493604E-3</v>
      </c>
      <c r="F280" s="5">
        <v>2.3952110078010701E-2</v>
      </c>
    </row>
    <row r="281" spans="1:6">
      <c r="A281" s="7">
        <v>45701</v>
      </c>
      <c r="B281" s="5">
        <v>1.6194344665538402E-2</v>
      </c>
      <c r="C281" s="5">
        <v>1.5650008835830201E-3</v>
      </c>
      <c r="D281" s="5">
        <v>2.2242124667732899E-3</v>
      </c>
      <c r="E281" s="5">
        <v>4.0323211429078602E-3</v>
      </c>
      <c r="F281" s="5">
        <v>-2.9239419455995299E-3</v>
      </c>
    </row>
    <row r="282" spans="1:6">
      <c r="A282" s="7">
        <v>45702</v>
      </c>
      <c r="B282" s="5">
        <v>0</v>
      </c>
      <c r="C282" s="5">
        <v>-3.1249531477972599E-3</v>
      </c>
      <c r="D282" s="5">
        <v>-4.8823155407260498E-3</v>
      </c>
      <c r="E282" s="5">
        <v>-6.0242398644625404E-3</v>
      </c>
      <c r="F282" s="5">
        <v>-1.4662801090058099E-2</v>
      </c>
    </row>
    <row r="283" spans="1:6">
      <c r="A283" s="7">
        <v>45705</v>
      </c>
      <c r="B283" s="5">
        <v>1.19522253042497E-2</v>
      </c>
      <c r="C283" s="5">
        <v>6.2695773400116596E-3</v>
      </c>
      <c r="D283" s="5">
        <v>3.56826350790573E-3</v>
      </c>
      <c r="E283" s="5">
        <v>1.0101318700628701E-2</v>
      </c>
      <c r="F283" s="5">
        <v>-1.1904768954890101E-2</v>
      </c>
    </row>
    <row r="284" spans="1:6">
      <c r="A284" s="7">
        <v>45706</v>
      </c>
      <c r="B284" s="5">
        <v>-1.9685029311961401E-2</v>
      </c>
      <c r="C284" s="5">
        <v>4.6728269875639904E-3</v>
      </c>
      <c r="D284" s="5">
        <v>1.77777888773916E-2</v>
      </c>
      <c r="E284" s="5">
        <v>2.1999795593477599E-2</v>
      </c>
      <c r="F284" s="5">
        <v>3.0120874571448698E-3</v>
      </c>
    </row>
    <row r="285" spans="1:6">
      <c r="A285" s="7">
        <v>45707</v>
      </c>
      <c r="B285" s="5">
        <v>-4.0160421171729901E-3</v>
      </c>
      <c r="C285" s="5">
        <v>-3.1008071196655402E-3</v>
      </c>
      <c r="D285" s="5">
        <v>5.2401142702800402E-3</v>
      </c>
      <c r="E285" s="5">
        <v>0</v>
      </c>
      <c r="F285" s="5">
        <v>1.20119440478856E-2</v>
      </c>
    </row>
    <row r="286" spans="1:6">
      <c r="A286" s="7">
        <v>45708</v>
      </c>
      <c r="B286" s="5">
        <v>-1.61290436203433E-2</v>
      </c>
      <c r="C286" s="5">
        <v>-1.55510820450744E-3</v>
      </c>
      <c r="D286" s="5">
        <v>8.6890524358240696E-4</v>
      </c>
      <c r="E286" s="5">
        <v>-7.8278142006107405E-3</v>
      </c>
      <c r="F286" s="5">
        <v>0</v>
      </c>
    </row>
    <row r="287" spans="1:6">
      <c r="A287" s="7">
        <v>45709</v>
      </c>
      <c r="B287" s="5">
        <v>4.0983380184243003E-3</v>
      </c>
      <c r="C287" s="5">
        <v>2.0249231598703499E-2</v>
      </c>
      <c r="D287" s="5">
        <v>1.17186370888951E-2</v>
      </c>
      <c r="E287" s="5">
        <v>3.9448348923467602E-3</v>
      </c>
      <c r="F287" s="5">
        <v>-2.6706211304999599E-2</v>
      </c>
    </row>
    <row r="288" spans="1:6">
      <c r="A288" s="7">
        <v>45712</v>
      </c>
      <c r="B288" s="5">
        <v>2.4489763070611101E-2</v>
      </c>
      <c r="C288" s="5">
        <v>1.52671773382114E-2</v>
      </c>
      <c r="D288" s="5">
        <v>-5.7915845601433898E-3</v>
      </c>
      <c r="E288" s="5">
        <v>1.9646186111541598E-3</v>
      </c>
      <c r="F288" s="5">
        <v>0</v>
      </c>
    </row>
    <row r="289" spans="1:6">
      <c r="A289" s="7">
        <v>45713</v>
      </c>
      <c r="B289" s="5">
        <v>3.98404195658442E-3</v>
      </c>
      <c r="C289" s="5">
        <v>7.5186839352747699E-3</v>
      </c>
      <c r="D289" s="5">
        <v>4.3150203748885101E-3</v>
      </c>
      <c r="E289" s="5">
        <v>-7.8431627160947502E-3</v>
      </c>
      <c r="F289" s="5">
        <v>1.21951293494504E-2</v>
      </c>
    </row>
    <row r="290" spans="1:6">
      <c r="A290" s="7">
        <v>45714</v>
      </c>
      <c r="B290" s="5">
        <v>-7.9364647047981407E-3</v>
      </c>
      <c r="C290" s="5">
        <v>2.98510545216857E-3</v>
      </c>
      <c r="D290" s="5">
        <v>2.5778885831726499E-3</v>
      </c>
      <c r="E290" s="5">
        <v>0</v>
      </c>
      <c r="F290" s="5">
        <v>0</v>
      </c>
    </row>
    <row r="291" spans="1:6">
      <c r="A291" s="7">
        <v>45715</v>
      </c>
      <c r="B291" s="5">
        <v>4.7999936107371501E-2</v>
      </c>
      <c r="C291" s="5">
        <v>1.19048093217202E-2</v>
      </c>
      <c r="D291" s="5">
        <v>-1.2855408935160701E-3</v>
      </c>
      <c r="E291" s="5">
        <v>3.75493590514311E-2</v>
      </c>
      <c r="F291" s="5">
        <v>6.0240999960592401E-3</v>
      </c>
    </row>
    <row r="292" spans="1:6">
      <c r="A292" s="7">
        <v>45716</v>
      </c>
      <c r="B292" s="5">
        <v>-2.29007342718263E-2</v>
      </c>
      <c r="C292" s="5">
        <v>1.4704919062789E-3</v>
      </c>
      <c r="D292" s="5">
        <v>-1.52327378126086E-2</v>
      </c>
      <c r="E292" s="5">
        <v>3.0476197469138998E-2</v>
      </c>
      <c r="F292" s="5">
        <v>1.7964082558507899E-2</v>
      </c>
    </row>
    <row r="293" spans="1:6">
      <c r="A293" s="7">
        <v>45719</v>
      </c>
      <c r="B293" s="5">
        <v>2.73437956995706E-2</v>
      </c>
      <c r="C293" s="5">
        <v>2.9368879444098299E-3</v>
      </c>
      <c r="D293" s="5">
        <v>-2.8322151047058802E-3</v>
      </c>
      <c r="E293" s="5">
        <v>8.50276882707863E-2</v>
      </c>
      <c r="F293" s="5">
        <v>0</v>
      </c>
    </row>
    <row r="294" spans="1:6">
      <c r="A294" s="7">
        <v>45720</v>
      </c>
      <c r="B294" s="5">
        <v>-1.5209136660928799E-2</v>
      </c>
      <c r="C294" s="5">
        <v>-1.4640330339089601E-3</v>
      </c>
      <c r="D294" s="5">
        <v>-5.2438215129091397E-3</v>
      </c>
      <c r="E294" s="5">
        <v>2.7257415618568499E-2</v>
      </c>
      <c r="F294" s="5">
        <v>-5.8822832283381699E-3</v>
      </c>
    </row>
    <row r="295" spans="1:6">
      <c r="A295" s="7">
        <v>45721</v>
      </c>
      <c r="B295" s="5">
        <v>7.72196530733593E-3</v>
      </c>
      <c r="C295" s="5">
        <v>0</v>
      </c>
      <c r="D295" s="5">
        <v>1.9768676137725798E-3</v>
      </c>
      <c r="E295" s="5">
        <v>-9.9504852549918699E-3</v>
      </c>
      <c r="F295" s="5">
        <v>2.9585446115176798E-3</v>
      </c>
    </row>
    <row r="296" spans="1:6">
      <c r="A296" s="7">
        <v>45722</v>
      </c>
      <c r="B296" s="5">
        <v>-3.83139674095567E-3</v>
      </c>
      <c r="C296" s="5">
        <v>5.8650885242939E-3</v>
      </c>
      <c r="D296" s="5">
        <v>7.4528238277227201E-3</v>
      </c>
      <c r="E296" s="5">
        <v>2.1775763617395898E-2</v>
      </c>
      <c r="F296" s="5">
        <v>0</v>
      </c>
    </row>
    <row r="297" spans="1:6">
      <c r="A297" s="7">
        <v>45723</v>
      </c>
      <c r="B297" s="5">
        <v>-3.8461328016371498E-3</v>
      </c>
      <c r="C297" s="5">
        <v>5.8308898392116504E-3</v>
      </c>
      <c r="D297" s="5">
        <v>4.3507300650036401E-4</v>
      </c>
      <c r="E297" s="5">
        <v>4.9180687803702704E-3</v>
      </c>
      <c r="F297" s="5">
        <v>8.8495257062752904E-3</v>
      </c>
    </row>
    <row r="298" spans="1:6">
      <c r="A298" s="7">
        <v>45726</v>
      </c>
      <c r="B298" s="5">
        <v>-7.7220616704939404E-3</v>
      </c>
      <c r="C298" s="5">
        <v>-4.3479072334230403E-3</v>
      </c>
      <c r="D298" s="5">
        <v>-2.82728785405939E-3</v>
      </c>
      <c r="E298" s="5">
        <v>-1.14193058829258E-2</v>
      </c>
      <c r="F298" s="5">
        <v>-1.7543869856510599E-2</v>
      </c>
    </row>
    <row r="299" spans="1:6">
      <c r="A299" s="7">
        <v>45727</v>
      </c>
      <c r="B299" s="5">
        <v>-7.7820588456655199E-3</v>
      </c>
      <c r="C299" s="5">
        <v>-1.60115529176704E-2</v>
      </c>
      <c r="D299" s="5">
        <v>-3.5332544074444201E-2</v>
      </c>
      <c r="E299" s="5">
        <v>4.95036827849749E-3</v>
      </c>
      <c r="F299" s="5">
        <v>-1.7857153432335199E-2</v>
      </c>
    </row>
    <row r="300" spans="1:6">
      <c r="A300" s="7">
        <v>45728</v>
      </c>
      <c r="B300" s="5">
        <v>1.17646414001724E-2</v>
      </c>
      <c r="C300" s="5">
        <v>-1.6272169125252301E-2</v>
      </c>
      <c r="D300" s="5">
        <v>5.1999798610886704E-3</v>
      </c>
      <c r="E300" s="5">
        <v>-9.8520468501130908E-3</v>
      </c>
      <c r="F300" s="5">
        <v>0</v>
      </c>
    </row>
    <row r="301" spans="1:6">
      <c r="A301" s="7">
        <v>45729</v>
      </c>
      <c r="B301" s="5">
        <v>1.16279407220927E-2</v>
      </c>
      <c r="C301" s="5">
        <v>9.0224966647967104E-3</v>
      </c>
      <c r="D301" s="5">
        <v>-8.0971208874149898E-3</v>
      </c>
      <c r="E301" s="5">
        <v>3.6484156412632397E-2</v>
      </c>
      <c r="F301" s="5">
        <v>1.5151486601408901E-2</v>
      </c>
    </row>
    <row r="302" spans="1:6">
      <c r="A302" s="7">
        <v>45730</v>
      </c>
      <c r="B302" s="5">
        <v>3.8313967409555599E-3</v>
      </c>
      <c r="C302" s="5">
        <v>-2.9805812893675099E-3</v>
      </c>
      <c r="D302" s="5">
        <v>3.40152234618674E-3</v>
      </c>
      <c r="E302" s="5">
        <v>-6.4000208755637901E-3</v>
      </c>
      <c r="F302" s="5">
        <v>-8.9551924085973199E-3</v>
      </c>
    </row>
    <row r="303" spans="1:6">
      <c r="A303" s="7">
        <v>45733</v>
      </c>
      <c r="B303" s="5">
        <v>3.8168684284452001E-3</v>
      </c>
      <c r="C303" s="5">
        <v>8.9686261140955494E-3</v>
      </c>
      <c r="D303" s="5">
        <v>2.4859371191856602E-3</v>
      </c>
      <c r="E303" s="5">
        <v>1.7713443585049501E-2</v>
      </c>
      <c r="F303" s="5">
        <v>2.1084387445322799E-2</v>
      </c>
    </row>
    <row r="304" spans="1:6">
      <c r="A304" s="7">
        <v>45734</v>
      </c>
      <c r="B304" s="5">
        <v>1.14068762200861E-2</v>
      </c>
      <c r="C304" s="5">
        <v>-1.48160883731074E-3</v>
      </c>
      <c r="D304" s="5">
        <v>1.5103455064068501E-2</v>
      </c>
      <c r="E304" s="5">
        <v>9.49358402659373E-3</v>
      </c>
      <c r="F304" s="5">
        <v>-5.8997816325072599E-3</v>
      </c>
    </row>
    <row r="305" spans="1:6">
      <c r="A305" s="7">
        <v>45735</v>
      </c>
      <c r="B305" s="5">
        <v>-1.1278226882060399E-2</v>
      </c>
      <c r="C305" s="5">
        <v>2.9674646617023899E-3</v>
      </c>
      <c r="D305" s="5">
        <v>3.7753296631024601E-3</v>
      </c>
      <c r="E305" s="5">
        <v>2.9780681671794498E-2</v>
      </c>
      <c r="F305" s="5">
        <v>8.9021196394572007E-3</v>
      </c>
    </row>
    <row r="306" spans="1:6">
      <c r="A306" s="7">
        <v>45736</v>
      </c>
      <c r="B306" s="5">
        <v>1.14068762200861E-2</v>
      </c>
      <c r="C306" s="5">
        <v>5.9171456176627703E-3</v>
      </c>
      <c r="D306" s="5">
        <v>4.4248048389408101E-3</v>
      </c>
      <c r="E306" s="5">
        <v>5.1750206486302699E-2</v>
      </c>
      <c r="F306" s="5">
        <v>0</v>
      </c>
    </row>
    <row r="307" spans="1:6">
      <c r="A307" s="7">
        <v>45737</v>
      </c>
      <c r="B307" s="5">
        <v>0</v>
      </c>
      <c r="C307" s="5">
        <v>0</v>
      </c>
      <c r="D307" s="5">
        <v>-1.9823446455883298E-3</v>
      </c>
      <c r="E307" s="5">
        <v>-4.1968069965140499E-2</v>
      </c>
      <c r="F307" s="5">
        <v>5.8823563837857602E-3</v>
      </c>
    </row>
    <row r="308" spans="1:6">
      <c r="A308" s="7">
        <v>45740</v>
      </c>
      <c r="B308" s="5">
        <v>1.50376045669867E-2</v>
      </c>
      <c r="C308" s="5">
        <v>0</v>
      </c>
      <c r="D308" s="5">
        <v>3.9726561466531E-3</v>
      </c>
      <c r="E308" s="5">
        <v>-3.0210458655187699E-3</v>
      </c>
      <c r="F308" s="5">
        <v>-2.9239419455995299E-3</v>
      </c>
    </row>
    <row r="309" spans="1:6">
      <c r="A309" s="7">
        <v>45741</v>
      </c>
      <c r="B309" s="5">
        <v>7.4073663241867004E-3</v>
      </c>
      <c r="C309" s="5">
        <v>5.8823389614555098E-3</v>
      </c>
      <c r="D309" s="5">
        <v>1.23102864155973E-2</v>
      </c>
      <c r="E309" s="5">
        <v>-6.0607000019393701E-3</v>
      </c>
      <c r="F309" s="5">
        <v>2.9325164534639301E-3</v>
      </c>
    </row>
    <row r="310" spans="1:6">
      <c r="A310" s="7">
        <v>45742</v>
      </c>
      <c r="B310" s="5">
        <v>1.10294428003528E-2</v>
      </c>
      <c r="C310" s="5">
        <v>-1.46204022463825E-3</v>
      </c>
      <c r="D310" s="5">
        <v>7.3833227564610304E-3</v>
      </c>
      <c r="E310" s="5">
        <v>1.6768215163529099E-2</v>
      </c>
      <c r="F310" s="5">
        <v>-8.7718985644363902E-3</v>
      </c>
    </row>
    <row r="311" spans="1:6">
      <c r="A311" s="7">
        <v>45743</v>
      </c>
      <c r="B311" s="5">
        <v>7.2726870098123201E-3</v>
      </c>
      <c r="C311" s="5">
        <v>-5.8565018409475504E-3</v>
      </c>
      <c r="D311" s="5">
        <v>4.0957792155356101E-3</v>
      </c>
      <c r="E311" s="5">
        <v>8.9954950282302697E-3</v>
      </c>
      <c r="F311" s="5">
        <v>2.9498174450108801E-3</v>
      </c>
    </row>
    <row r="312" spans="1:6">
      <c r="A312" s="7">
        <v>45744</v>
      </c>
      <c r="B312" s="5">
        <v>-1.08303554856369E-2</v>
      </c>
      <c r="C312" s="5">
        <v>0</v>
      </c>
      <c r="D312" s="5">
        <v>-2.36158694925648E-3</v>
      </c>
      <c r="E312" s="5">
        <v>8.9152975137698504E-3</v>
      </c>
      <c r="F312" s="5">
        <v>8.8235711534023799E-3</v>
      </c>
    </row>
    <row r="313" spans="1:6">
      <c r="A313" s="7">
        <v>45748</v>
      </c>
      <c r="B313" s="5">
        <v>0</v>
      </c>
      <c r="C313" s="5">
        <v>-4.4181960984984699E-3</v>
      </c>
      <c r="D313" s="5">
        <v>-7.7468893850712898E-3</v>
      </c>
      <c r="E313" s="5">
        <v>7.3638493603251903E-3</v>
      </c>
      <c r="F313" s="5">
        <v>3.79007864752023E-2</v>
      </c>
    </row>
    <row r="314" spans="1:6">
      <c r="A314" s="7">
        <v>45749</v>
      </c>
      <c r="B314" s="5">
        <v>-7.2992301805232503E-3</v>
      </c>
      <c r="C314" s="5">
        <v>-1.03550235075895E-2</v>
      </c>
      <c r="D314" s="5">
        <v>-1.5181628442236801E-3</v>
      </c>
      <c r="E314" s="5">
        <v>-2.6315766656825799E-2</v>
      </c>
      <c r="F314" s="5">
        <v>-1.40449177180163E-2</v>
      </c>
    </row>
    <row r="315" spans="1:6">
      <c r="A315" s="7">
        <v>45750</v>
      </c>
      <c r="B315" s="5">
        <v>3.6764503475961198E-3</v>
      </c>
      <c r="C315" s="5">
        <v>-1.4948213446175399E-3</v>
      </c>
      <c r="D315" s="5">
        <v>-1.1294592870746E-2</v>
      </c>
      <c r="E315" s="5">
        <v>1.3513464376990501E-2</v>
      </c>
      <c r="F315" s="5">
        <v>2.5641005654074098E-2</v>
      </c>
    </row>
    <row r="316" spans="1:6">
      <c r="A316" s="7">
        <v>45751</v>
      </c>
      <c r="B316" s="5">
        <v>-2.9303959984461999E-2</v>
      </c>
      <c r="C316" s="5">
        <v>-1.94610133341236E-2</v>
      </c>
      <c r="D316" s="5">
        <v>-4.8769787077037802E-2</v>
      </c>
      <c r="E316" s="5">
        <v>-8.8888081877430691E-3</v>
      </c>
      <c r="F316" s="5">
        <v>-1.94444219897855E-2</v>
      </c>
    </row>
    <row r="317" spans="1:6">
      <c r="A317" s="7">
        <v>45754</v>
      </c>
      <c r="B317" s="5">
        <v>-8.3018877520363396E-2</v>
      </c>
      <c r="C317" s="5">
        <v>-7.0229031176150897E-2</v>
      </c>
      <c r="D317" s="5">
        <v>-8.0093625126324605E-2</v>
      </c>
      <c r="E317" s="5">
        <v>-7.0254131924616603E-2</v>
      </c>
      <c r="F317" s="5">
        <v>-4.8158633839198703E-2</v>
      </c>
    </row>
    <row r="318" spans="1:6">
      <c r="A318" s="7">
        <v>45755</v>
      </c>
      <c r="B318" s="5">
        <v>2.0576120275237E-2</v>
      </c>
      <c r="C318" s="5">
        <v>-8.2102232442352596E-3</v>
      </c>
      <c r="D318" s="5">
        <v>-3.25865284618908E-2</v>
      </c>
      <c r="E318" s="5">
        <v>1.9292587128703499E-2</v>
      </c>
      <c r="F318" s="5">
        <v>0</v>
      </c>
    </row>
    <row r="319" spans="1:6">
      <c r="A319" s="7">
        <v>45756</v>
      </c>
      <c r="B319" s="5">
        <v>-3.22580872406866E-2</v>
      </c>
      <c r="C319" s="5">
        <v>-8.2781890241817608E-3</v>
      </c>
      <c r="D319" s="5">
        <v>-2.2105097265214799E-2</v>
      </c>
      <c r="E319" s="5">
        <v>-6.3091686750247301E-3</v>
      </c>
      <c r="F319" s="5">
        <v>1.1904768954890101E-2</v>
      </c>
    </row>
    <row r="320" spans="1:6">
      <c r="A320" s="7">
        <v>45757</v>
      </c>
      <c r="B320" s="5">
        <v>4.1666645001686299E-2</v>
      </c>
      <c r="C320" s="5">
        <v>4.34057028696457E-2</v>
      </c>
      <c r="D320" s="5">
        <v>6.7545586112846001E-2</v>
      </c>
      <c r="E320" s="5">
        <v>5.0793659260895498E-2</v>
      </c>
      <c r="F320" s="5">
        <v>2.6470567149312198E-2</v>
      </c>
    </row>
    <row r="321" spans="1:6">
      <c r="A321" s="7">
        <v>45758</v>
      </c>
      <c r="B321" s="5">
        <v>-7.9999560738179803E-3</v>
      </c>
      <c r="C321" s="5">
        <v>-1.44000271497381E-2</v>
      </c>
      <c r="D321" s="5">
        <v>-3.88200958924039E-2</v>
      </c>
      <c r="E321" s="5">
        <v>7.5528013001837698E-3</v>
      </c>
      <c r="F321" s="5">
        <v>2.8653668831293299E-3</v>
      </c>
    </row>
    <row r="322" spans="1:6">
      <c r="A322" s="7">
        <v>45761</v>
      </c>
      <c r="B322" s="5">
        <v>-4.0323363830804303E-3</v>
      </c>
      <c r="C322" s="5">
        <v>8.1169259718183503E-3</v>
      </c>
      <c r="D322" s="5">
        <v>1.7833656030818799E-2</v>
      </c>
      <c r="E322" s="5">
        <v>1.4992516412027E-2</v>
      </c>
      <c r="F322" s="5">
        <v>0</v>
      </c>
    </row>
    <row r="323" spans="1:6">
      <c r="A323" s="7">
        <v>45762</v>
      </c>
      <c r="B323" s="5">
        <v>8.0972228551554597E-3</v>
      </c>
      <c r="C323" s="5">
        <v>1.4492780730941599E-2</v>
      </c>
      <c r="D323" s="5">
        <v>2.9631522402910698E-2</v>
      </c>
      <c r="E323" s="5">
        <v>0</v>
      </c>
      <c r="F323" s="5">
        <v>1.9999975837801099E-2</v>
      </c>
    </row>
    <row r="324" spans="1:6">
      <c r="A324" s="7">
        <v>45763</v>
      </c>
      <c r="B324" s="5">
        <v>2.0080310819027301E-2</v>
      </c>
      <c r="C324" s="5">
        <v>7.9364691281642603E-3</v>
      </c>
      <c r="D324" s="5">
        <v>3.5033569814550999E-3</v>
      </c>
      <c r="E324" s="5">
        <v>3.8404744096123503E-2</v>
      </c>
      <c r="F324" s="5">
        <v>3.3613465284395599E-2</v>
      </c>
    </row>
    <row r="325" spans="1:6">
      <c r="A325" s="7">
        <v>45764</v>
      </c>
      <c r="B325" s="5">
        <v>1.9685029311961501E-2</v>
      </c>
      <c r="C325" s="5">
        <v>4.7244978714906499E-3</v>
      </c>
      <c r="D325" s="5">
        <v>1.8204607476042502E-2</v>
      </c>
      <c r="E325" s="5">
        <v>1.4224762666954299E-2</v>
      </c>
      <c r="F325" s="5">
        <v>1.6260104511813998E-2</v>
      </c>
    </row>
    <row r="326" spans="1:6">
      <c r="A326" s="7">
        <v>45768</v>
      </c>
      <c r="B326" s="5">
        <v>3.8609826536679698E-3</v>
      </c>
      <c r="C326" s="5">
        <v>1.0971700977770799E-2</v>
      </c>
      <c r="D326" s="5">
        <v>1.44501153944325E-2</v>
      </c>
      <c r="E326" s="5">
        <v>-9.8176519773066594E-3</v>
      </c>
      <c r="F326" s="5">
        <v>0</v>
      </c>
    </row>
    <row r="327" spans="1:6">
      <c r="A327" s="7">
        <v>45769</v>
      </c>
      <c r="B327" s="5">
        <v>1.1538494397443901E-2</v>
      </c>
      <c r="C327" s="5">
        <v>6.2015359420524198E-3</v>
      </c>
      <c r="D327" s="5">
        <v>1.03814070563402E-2</v>
      </c>
      <c r="E327" s="5">
        <v>4.2492881160496501E-2</v>
      </c>
      <c r="F327" s="5">
        <v>1.33334412262436E-2</v>
      </c>
    </row>
    <row r="328" spans="1:6">
      <c r="A328" s="7">
        <v>45770</v>
      </c>
      <c r="B328" s="5">
        <v>1.14068762200861E-2</v>
      </c>
      <c r="C328" s="5">
        <v>1.5408401545057701E-2</v>
      </c>
      <c r="D328" s="5">
        <v>2.46117891268294E-2</v>
      </c>
      <c r="E328" s="5">
        <v>-3.8043401988899099E-2</v>
      </c>
      <c r="F328" s="5">
        <v>-1.05263213014627E-2</v>
      </c>
    </row>
    <row r="329" spans="1:6">
      <c r="A329" s="7">
        <v>45771</v>
      </c>
      <c r="B329" s="5">
        <v>-2.79650335746853E-2</v>
      </c>
      <c r="C329" s="5">
        <v>4.5522836711164904E-3</v>
      </c>
      <c r="D329" s="5">
        <v>-1.25934548954939E-2</v>
      </c>
      <c r="E329" s="5">
        <v>3.3898274323610297E-2</v>
      </c>
      <c r="F329" s="5">
        <v>7.9786945510729197E-3</v>
      </c>
    </row>
    <row r="330" spans="1:6">
      <c r="A330" s="7">
        <v>45772</v>
      </c>
      <c r="B330" s="5">
        <v>7.5471293794020502E-3</v>
      </c>
      <c r="C330" s="5">
        <v>9.06346116377677E-3</v>
      </c>
      <c r="D330" s="5">
        <v>2.36159602786445E-4</v>
      </c>
      <c r="E330" s="5">
        <v>-1.22950374180792E-2</v>
      </c>
      <c r="F330" s="5">
        <v>-7.9155388841093393E-3</v>
      </c>
    </row>
    <row r="331" spans="1:6">
      <c r="A331" s="7">
        <v>45775</v>
      </c>
      <c r="B331" s="5">
        <v>7.4905968756526801E-3</v>
      </c>
      <c r="C331" s="5">
        <v>-4.4909507376656999E-3</v>
      </c>
      <c r="D331" s="5">
        <v>-1.1806161457423899E-3</v>
      </c>
      <c r="E331" s="5">
        <v>1.65974267012894E-2</v>
      </c>
      <c r="F331" s="5">
        <v>7.9786945510729197E-3</v>
      </c>
    </row>
    <row r="332" spans="1:6">
      <c r="A332" s="7">
        <v>45776</v>
      </c>
      <c r="B332" s="5">
        <v>-3.7175000454060499E-3</v>
      </c>
      <c r="C332" s="5">
        <v>4.51121036116486E-3</v>
      </c>
      <c r="D332" s="5">
        <v>-5.2009094726186396E-3</v>
      </c>
      <c r="E332" s="5">
        <v>2.73975642351032E-3</v>
      </c>
      <c r="F332" s="5">
        <v>-7.9155388841093393E-3</v>
      </c>
    </row>
    <row r="333" spans="1:6">
      <c r="A333" s="7">
        <v>45777</v>
      </c>
      <c r="B333" s="5">
        <v>2.61193135933535E-2</v>
      </c>
      <c r="C333" s="5">
        <v>4.4910263390787204E-3</v>
      </c>
      <c r="D333" s="5">
        <v>8.7929669530446598E-3</v>
      </c>
      <c r="E333" s="5">
        <v>1.22950168347866E-2</v>
      </c>
      <c r="F333" s="5">
        <v>5.3191517511148598E-3</v>
      </c>
    </row>
    <row r="334" spans="1:6">
      <c r="A334" s="7">
        <v>45779</v>
      </c>
      <c r="B334" s="5">
        <v>-1.2945958837545299E-2</v>
      </c>
      <c r="C334" s="5">
        <v>8.9418191315053797E-3</v>
      </c>
      <c r="D334" s="5">
        <v>5.8891733101369397E-3</v>
      </c>
      <c r="E334" s="5">
        <v>-8.0971236186529998E-3</v>
      </c>
      <c r="F334" s="5">
        <v>5.2910080762409396E-3</v>
      </c>
    </row>
    <row r="335" spans="1:6">
      <c r="A335" s="7">
        <v>45782</v>
      </c>
      <c r="B335" s="5">
        <v>1.5810261780775801E-2</v>
      </c>
      <c r="C335" s="5">
        <v>5.9084059448239997E-3</v>
      </c>
      <c r="D335" s="5">
        <v>4.2155142614019904E-3</v>
      </c>
      <c r="E335" s="5">
        <v>1.3605392657895E-2</v>
      </c>
      <c r="F335" s="5">
        <v>2.6315475979306101E-3</v>
      </c>
    </row>
    <row r="336" spans="1:6">
      <c r="A336" s="7">
        <v>45783</v>
      </c>
      <c r="B336" s="5">
        <v>-7.7820939478694404E-3</v>
      </c>
      <c r="C336" s="5">
        <v>5.8737758888196502E-3</v>
      </c>
      <c r="D336" s="5">
        <v>2.56532808659493E-3</v>
      </c>
      <c r="E336" s="5">
        <v>5.3691873006451703E-3</v>
      </c>
      <c r="F336" s="5">
        <v>1.57479749516676E-2</v>
      </c>
    </row>
    <row r="337" spans="1:6">
      <c r="A337" s="7">
        <v>45784</v>
      </c>
      <c r="B337" s="5">
        <v>7.8431299217660601E-3</v>
      </c>
      <c r="C337" s="5">
        <v>-5.8394761148130598E-3</v>
      </c>
      <c r="D337" s="5">
        <v>-5.3502123853382804E-3</v>
      </c>
      <c r="E337" s="5">
        <v>1.33511516456162E-2</v>
      </c>
      <c r="F337" s="5">
        <v>2.5840773122820502E-3</v>
      </c>
    </row>
    <row r="338" spans="1:6">
      <c r="A338" s="7">
        <v>45785</v>
      </c>
      <c r="B338" s="5">
        <v>-2.3346281843608301E-2</v>
      </c>
      <c r="C338" s="5">
        <v>-1.0278996568105899E-2</v>
      </c>
      <c r="D338" s="5">
        <v>7.7174867656275596E-3</v>
      </c>
      <c r="E338" s="5">
        <v>-1.05401070016716E-2</v>
      </c>
      <c r="F338" s="5">
        <v>-5.1547059240590904E-3</v>
      </c>
    </row>
    <row r="339" spans="1:6">
      <c r="A339" s="7">
        <v>45786</v>
      </c>
      <c r="B339" s="5">
        <v>7.9681199213161892E-3</v>
      </c>
      <c r="C339" s="5">
        <v>2.9674646617023899E-3</v>
      </c>
      <c r="D339" s="5">
        <v>1.43885700753599E-2</v>
      </c>
      <c r="E339" s="5">
        <v>1.59786744470818E-2</v>
      </c>
      <c r="F339" s="5">
        <v>1.0362764747668099E-2</v>
      </c>
    </row>
    <row r="340" spans="1:6">
      <c r="A340" s="7">
        <v>45790</v>
      </c>
      <c r="B340" s="5">
        <v>3.9525654451939597E-3</v>
      </c>
      <c r="C340" s="5">
        <v>1.1834291235325501E-2</v>
      </c>
      <c r="D340" s="5">
        <v>1.18965237948787E-2</v>
      </c>
      <c r="E340" s="5">
        <v>-7.0773334342054905E-2</v>
      </c>
      <c r="F340" s="5">
        <v>-4.8718005462715701E-2</v>
      </c>
    </row>
    <row r="341" spans="1:6">
      <c r="A341" s="7">
        <v>45791</v>
      </c>
      <c r="B341" s="5">
        <v>-3.9370041785202802E-3</v>
      </c>
      <c r="C341" s="5">
        <v>2.9240066163189801E-3</v>
      </c>
      <c r="D341" s="5">
        <v>4.5222921719978399E-4</v>
      </c>
      <c r="E341" s="5">
        <v>1.4104390127120701E-2</v>
      </c>
      <c r="F341" s="5">
        <v>1.07816102603799E-2</v>
      </c>
    </row>
    <row r="342" spans="1:6">
      <c r="A342" s="7">
        <v>45792</v>
      </c>
      <c r="B342" s="5">
        <v>7.9051308903879108E-3</v>
      </c>
      <c r="C342" s="5">
        <v>2.9154081107562999E-3</v>
      </c>
      <c r="D342" s="5">
        <v>1.92089668065565E-2</v>
      </c>
      <c r="E342" s="5">
        <v>1.9471430448814799E-2</v>
      </c>
      <c r="F342" s="5">
        <v>0</v>
      </c>
    </row>
    <row r="343" spans="1:6">
      <c r="A343" s="7">
        <v>45793</v>
      </c>
      <c r="B343" s="5">
        <v>3.92156496088303E-3</v>
      </c>
      <c r="C343" s="5">
        <v>2.9070066177836499E-3</v>
      </c>
      <c r="D343" s="5">
        <v>5.6369705760985801E-3</v>
      </c>
      <c r="E343" s="5">
        <v>1.0914039234478401E-2</v>
      </c>
      <c r="F343" s="5">
        <v>1.33334412262436E-2</v>
      </c>
    </row>
    <row r="344" spans="1:6">
      <c r="A344" s="7">
        <v>45796</v>
      </c>
      <c r="B344" s="5">
        <v>-1.17187390860634E-2</v>
      </c>
      <c r="C344" s="5">
        <v>1.1594175319359599E-2</v>
      </c>
      <c r="D344" s="5">
        <v>-6.7264298018769901E-3</v>
      </c>
      <c r="E344" s="5">
        <v>6.7477134184208403E-3</v>
      </c>
      <c r="F344" s="5">
        <v>-2.6316130528007999E-3</v>
      </c>
    </row>
    <row r="345" spans="1:6">
      <c r="A345" s="7">
        <v>45797</v>
      </c>
      <c r="B345" s="5">
        <v>0</v>
      </c>
      <c r="C345" s="5">
        <v>0</v>
      </c>
      <c r="D345" s="5">
        <v>1.8060013257312801E-3</v>
      </c>
      <c r="E345" s="5">
        <v>1.07816179533087E-2</v>
      </c>
      <c r="F345" s="5">
        <v>5.2770477985983897E-3</v>
      </c>
    </row>
    <row r="346" spans="1:6">
      <c r="A346" s="7">
        <v>45798</v>
      </c>
      <c r="B346" s="5">
        <v>3.9525654451939597E-3</v>
      </c>
      <c r="C346" s="5">
        <v>2.8653589512712698E-3</v>
      </c>
      <c r="D346" s="5">
        <v>-5.6332501917253398E-3</v>
      </c>
      <c r="E346" s="5">
        <v>-2.66658855158364E-3</v>
      </c>
      <c r="F346" s="5">
        <v>1.04986934898281E-2</v>
      </c>
    </row>
    <row r="347" spans="1:6">
      <c r="A347" s="7">
        <v>45799</v>
      </c>
      <c r="B347" s="5">
        <v>-3.9370041785202802E-3</v>
      </c>
      <c r="C347" s="5">
        <v>1.1428472074123799E-2</v>
      </c>
      <c r="D347" s="5">
        <v>1.3595587434289699E-3</v>
      </c>
      <c r="E347" s="5">
        <v>1.20319932411661E-2</v>
      </c>
      <c r="F347" s="5">
        <v>2.5974040237425298E-2</v>
      </c>
    </row>
    <row r="348" spans="1:6">
      <c r="A348" s="7">
        <v>45800</v>
      </c>
      <c r="B348" s="5">
        <v>-3.9525654451939597E-3</v>
      </c>
      <c r="C348" s="5">
        <v>-4.2372249660950203E-3</v>
      </c>
      <c r="D348" s="5">
        <v>6.1099818658010303E-3</v>
      </c>
      <c r="E348" s="5">
        <v>-5.2839256286613097E-3</v>
      </c>
      <c r="F348" s="5">
        <v>-1.77214969879608E-2</v>
      </c>
    </row>
    <row r="349" spans="1:6">
      <c r="A349" s="7">
        <v>45803</v>
      </c>
      <c r="B349" s="5">
        <v>3.9682502138671501E-3</v>
      </c>
      <c r="C349" s="5">
        <v>4.2552554406853904E-3</v>
      </c>
      <c r="D349" s="5">
        <v>-4.0485844661967097E-3</v>
      </c>
      <c r="E349" s="5">
        <v>3.9840764023546501E-3</v>
      </c>
      <c r="F349" s="5">
        <v>-1.0309347742833701E-2</v>
      </c>
    </row>
    <row r="350" spans="1:6">
      <c r="A350" s="7">
        <v>45804</v>
      </c>
      <c r="B350" s="5">
        <v>3.9525654451939597E-3</v>
      </c>
      <c r="C350" s="5">
        <v>2.8248879742145401E-3</v>
      </c>
      <c r="D350" s="5">
        <v>5.6458817223512502E-3</v>
      </c>
      <c r="E350" s="5">
        <v>2.5132247028336802E-2</v>
      </c>
      <c r="F350" s="5">
        <v>2.6042005713111699E-3</v>
      </c>
    </row>
    <row r="351" spans="1:6">
      <c r="A351" s="7">
        <v>45805</v>
      </c>
      <c r="B351" s="5">
        <v>-3.9370041785202802E-3</v>
      </c>
      <c r="C351" s="5">
        <v>2.8169304612302199E-3</v>
      </c>
      <c r="D351" s="5">
        <v>1.39233339642222E-2</v>
      </c>
      <c r="E351" s="5">
        <v>-7.7420231906027998E-3</v>
      </c>
      <c r="F351" s="5">
        <v>-2.5974363261467301E-3</v>
      </c>
    </row>
    <row r="352" spans="1:6">
      <c r="A352" s="7">
        <v>45806</v>
      </c>
      <c r="B352" s="5">
        <v>-3.9525654451939597E-3</v>
      </c>
      <c r="C352" s="5">
        <v>4.21349101604474E-3</v>
      </c>
      <c r="D352" s="5">
        <v>-3.5438233902892499E-3</v>
      </c>
      <c r="E352" s="5">
        <v>2.6008310901592898E-3</v>
      </c>
      <c r="F352" s="5">
        <v>2.6042005713111699E-3</v>
      </c>
    </row>
    <row r="353" spans="1:6">
      <c r="A353" s="7">
        <v>45807</v>
      </c>
      <c r="B353" s="5">
        <v>0</v>
      </c>
      <c r="C353" s="5">
        <v>-2.7971609120459599E-3</v>
      </c>
      <c r="D353" s="5">
        <v>-6.0014252622393504E-3</v>
      </c>
      <c r="E353" s="5">
        <v>1.42672737640406E-2</v>
      </c>
      <c r="F353" s="5">
        <v>-1.03896160949701E-2</v>
      </c>
    </row>
    <row r="354" spans="1:6">
      <c r="A354" s="7">
        <v>45810</v>
      </c>
      <c r="B354" s="5">
        <v>-7.9365004277343106E-3</v>
      </c>
      <c r="C354" s="5">
        <v>-1.40257431387936E-3</v>
      </c>
      <c r="D354" s="5">
        <v>3.1306618292217302E-3</v>
      </c>
      <c r="E354" s="5">
        <v>-1.2788596397853599E-3</v>
      </c>
      <c r="F354" s="5">
        <v>-2.6246407309197298E-3</v>
      </c>
    </row>
    <row r="355" spans="1:6">
      <c r="A355" s="7">
        <v>45811</v>
      </c>
      <c r="B355" s="5">
        <v>3.9999961853027797E-3</v>
      </c>
      <c r="C355" s="5">
        <v>0</v>
      </c>
      <c r="D355" s="5">
        <v>-1.33752487445349E-3</v>
      </c>
      <c r="E355" s="5">
        <v>2.5608193981950599E-2</v>
      </c>
      <c r="F355" s="5">
        <v>7.8947082486620097E-3</v>
      </c>
    </row>
    <row r="356" spans="1:6">
      <c r="A356" s="7">
        <v>45812</v>
      </c>
      <c r="B356" s="5">
        <v>7.9681199213161892E-3</v>
      </c>
      <c r="C356" s="5">
        <v>5.6179643782543502E-3</v>
      </c>
      <c r="D356" s="5">
        <v>4.6875618020341099E-3</v>
      </c>
      <c r="E356" s="5">
        <v>-2.4969276014726901E-3</v>
      </c>
      <c r="F356" s="5">
        <v>1.5665804992299501E-2</v>
      </c>
    </row>
    <row r="357" spans="1:6">
      <c r="A357" s="7">
        <v>45813</v>
      </c>
      <c r="B357" s="5">
        <v>3.9525654451939597E-3</v>
      </c>
      <c r="C357" s="5">
        <v>2.7932543211437498E-3</v>
      </c>
      <c r="D357" s="5">
        <v>2.2213306209839501E-4</v>
      </c>
      <c r="E357" s="5">
        <v>-3.75458347165702E-3</v>
      </c>
      <c r="F357" s="5">
        <v>-5.1414549096130396E-3</v>
      </c>
    </row>
    <row r="358" spans="1:6">
      <c r="A358" s="7">
        <v>45814</v>
      </c>
      <c r="B358" s="5">
        <v>7.87400835704055E-3</v>
      </c>
      <c r="C358" s="5">
        <v>-1.25347023667595E-2</v>
      </c>
      <c r="D358" s="5">
        <v>2.2212855913386099E-3</v>
      </c>
      <c r="E358" s="5">
        <v>-1.2563671668643899E-3</v>
      </c>
      <c r="F358" s="5">
        <v>7.7520391240333301E-3</v>
      </c>
    </row>
    <row r="359" spans="1:6">
      <c r="A359" s="7">
        <v>45817</v>
      </c>
      <c r="B359" s="5">
        <v>-3.9062463620210802E-3</v>
      </c>
      <c r="C359" s="5">
        <v>-4.2313193419530899E-3</v>
      </c>
      <c r="D359" s="5">
        <v>8.2004067550611702E-3</v>
      </c>
      <c r="E359" s="5">
        <v>-1.00629667752355E-2</v>
      </c>
      <c r="F359" s="5">
        <v>-7.6924072818266298E-3</v>
      </c>
    </row>
    <row r="360" spans="1:6">
      <c r="A360" s="7">
        <v>45818</v>
      </c>
      <c r="B360" s="5">
        <v>1.5686259843531902E-2</v>
      </c>
      <c r="C360" s="5">
        <v>5.6656372704566599E-3</v>
      </c>
      <c r="D360" s="5">
        <v>-7.4741621303913196E-3</v>
      </c>
      <c r="E360" s="5">
        <v>-1.2704868328121701E-3</v>
      </c>
      <c r="F360" s="5">
        <v>1.03359878944405E-2</v>
      </c>
    </row>
    <row r="361" spans="1:6">
      <c r="A361" s="7">
        <v>45819</v>
      </c>
      <c r="B361" s="5">
        <v>7.72200061362871E-3</v>
      </c>
      <c r="C361" s="5">
        <v>-5.63371866402251E-3</v>
      </c>
      <c r="D361" s="5">
        <v>-6.2016909330062696E-3</v>
      </c>
      <c r="E361" s="5">
        <v>-1.9084029920509098E-2</v>
      </c>
      <c r="F361" s="5">
        <v>7.6726066130867699E-3</v>
      </c>
    </row>
    <row r="362" spans="1:6">
      <c r="A362" s="7">
        <v>45820</v>
      </c>
      <c r="B362" s="5">
        <v>-7.6628282491862897E-3</v>
      </c>
      <c r="C362" s="5">
        <v>-4.24929948505393E-3</v>
      </c>
      <c r="D362" s="5">
        <v>-4.4572428802454002E-3</v>
      </c>
      <c r="E362" s="5">
        <v>3.8910631496726902E-3</v>
      </c>
      <c r="F362" s="5">
        <v>1.26903941046543E-2</v>
      </c>
    </row>
    <row r="363" spans="1:6">
      <c r="A363" s="7">
        <v>45821</v>
      </c>
      <c r="B363" s="5">
        <v>-3.8610003068143598E-3</v>
      </c>
      <c r="C363" s="5">
        <v>-1.2802299258809701E-2</v>
      </c>
      <c r="D363" s="5">
        <v>-4.9249367993703403E-3</v>
      </c>
      <c r="E363" s="5">
        <v>7.75189984465929E-3</v>
      </c>
      <c r="F363" s="5">
        <v>-1.0025067968649199E-2</v>
      </c>
    </row>
    <row r="364" spans="1:6">
      <c r="A364" s="7">
        <v>45824</v>
      </c>
      <c r="B364" s="5">
        <v>-7.7519308209066402E-3</v>
      </c>
      <c r="C364" s="5">
        <v>-1.00865224383464E-2</v>
      </c>
      <c r="D364" s="5">
        <v>-6.5241960807603796E-3</v>
      </c>
      <c r="E364" s="5">
        <v>2.0512908141920201E-2</v>
      </c>
      <c r="F364" s="5">
        <v>0</v>
      </c>
    </row>
    <row r="365" spans="1:6">
      <c r="A365" s="7">
        <v>45825</v>
      </c>
      <c r="B365" s="5">
        <v>1.17187390860634E-2</v>
      </c>
      <c r="C365" s="5">
        <v>1.4556558647817999E-3</v>
      </c>
      <c r="D365" s="5">
        <v>6.7933580442090004E-3</v>
      </c>
      <c r="E365" s="5">
        <v>-1.2563671668643899E-3</v>
      </c>
      <c r="F365" s="5">
        <v>-5.0632938493091499E-3</v>
      </c>
    </row>
    <row r="366" spans="1:6">
      <c r="A366" s="7">
        <v>45826</v>
      </c>
      <c r="B366" s="5">
        <v>0</v>
      </c>
      <c r="C366" s="5">
        <v>-4.36047322482702E-3</v>
      </c>
      <c r="D366" s="5">
        <v>-5.1732618749792403E-3</v>
      </c>
      <c r="E366" s="5">
        <v>1.2579476109404501E-3</v>
      </c>
      <c r="F366" s="5">
        <v>1.01781225237907E-2</v>
      </c>
    </row>
    <row r="367" spans="1:6">
      <c r="A367" s="7">
        <v>45827</v>
      </c>
      <c r="B367" s="5">
        <v>0</v>
      </c>
      <c r="C367" s="5">
        <v>-2.9197380574065299E-3</v>
      </c>
      <c r="D367" s="5">
        <v>-6.7826079338315602E-3</v>
      </c>
      <c r="E367" s="5">
        <v>-1.50753633231193E-2</v>
      </c>
      <c r="F367" s="5">
        <v>-1.5113358174440501E-2</v>
      </c>
    </row>
    <row r="368" spans="1:6">
      <c r="A368" s="7">
        <v>45828</v>
      </c>
      <c r="B368" s="5">
        <v>-1.9305001534071699E-2</v>
      </c>
      <c r="C368" s="5">
        <v>-5.8565018409475504E-3</v>
      </c>
      <c r="D368" s="5">
        <v>-1.1381543100921199E-3</v>
      </c>
      <c r="E368" s="5">
        <v>5.1020153988328197E-3</v>
      </c>
      <c r="F368" s="5">
        <v>-1.2787762506384401E-2</v>
      </c>
    </row>
    <row r="369" spans="1:6">
      <c r="A369" s="7">
        <v>45831</v>
      </c>
      <c r="B369" s="5">
        <v>-3.9370041785202802E-3</v>
      </c>
      <c r="C369" s="5">
        <v>-1.0309272983128399E-2</v>
      </c>
      <c r="D369" s="5">
        <v>-4.5589085774166998E-4</v>
      </c>
      <c r="E369" s="5">
        <v>5.07611697187604E-3</v>
      </c>
      <c r="F369" s="5">
        <v>7.7720574513908697E-3</v>
      </c>
    </row>
    <row r="370" spans="1:6">
      <c r="A370" s="7">
        <v>45832</v>
      </c>
      <c r="B370" s="5">
        <v>3.9525654451939597E-3</v>
      </c>
      <c r="C370" s="5">
        <v>1.9345249390315501E-2</v>
      </c>
      <c r="D370" s="5">
        <v>1.0031964647374301E-2</v>
      </c>
      <c r="E370" s="5">
        <v>-1.1363672789544201E-2</v>
      </c>
      <c r="F370" s="5">
        <v>-1.54241729073652E-2</v>
      </c>
    </row>
    <row r="371" spans="1:6">
      <c r="A371" s="7">
        <v>45833</v>
      </c>
      <c r="B371" s="5">
        <v>7.87400835704055E-3</v>
      </c>
      <c r="C371" s="5">
        <v>2.91966433223267E-3</v>
      </c>
      <c r="D371" s="5">
        <v>6.7719810570769897E-3</v>
      </c>
      <c r="E371" s="5">
        <v>1.5325657836486701E-2</v>
      </c>
      <c r="F371" s="5">
        <v>-7.8328700250643903E-3</v>
      </c>
    </row>
    <row r="372" spans="1:6">
      <c r="A372" s="7">
        <v>45834</v>
      </c>
      <c r="B372" s="5">
        <v>1.17187390860634E-2</v>
      </c>
      <c r="C372" s="5">
        <v>4.3668940837975302E-3</v>
      </c>
      <c r="D372" s="5">
        <v>-4.03578547899175E-3</v>
      </c>
      <c r="E372" s="5">
        <v>-1.00629667752355E-2</v>
      </c>
      <c r="F372" s="5">
        <v>2.6315475979306101E-3</v>
      </c>
    </row>
    <row r="373" spans="1:6">
      <c r="A373" s="7">
        <v>45835</v>
      </c>
      <c r="B373" s="5">
        <v>1.54440932807658E-2</v>
      </c>
      <c r="C373" s="5">
        <v>4.3477608515618601E-3</v>
      </c>
      <c r="D373" s="5">
        <v>9.9054004137284508E-3</v>
      </c>
      <c r="E373" s="5">
        <v>-5.0825056506577102E-3</v>
      </c>
      <c r="F373" s="5">
        <v>7.8739874758337897E-3</v>
      </c>
    </row>
    <row r="374" spans="1:6">
      <c r="A374" s="7">
        <v>45838</v>
      </c>
      <c r="B374" s="5">
        <v>7.6045551544643396E-3</v>
      </c>
      <c r="C374" s="5">
        <v>5.77199241701343E-3</v>
      </c>
      <c r="D374" s="5">
        <v>1.11455907298064E-3</v>
      </c>
      <c r="E374" s="5">
        <v>-5.1085318280300598E-3</v>
      </c>
      <c r="F374" s="5">
        <v>-5.2083363695701896E-3</v>
      </c>
    </row>
    <row r="375" spans="1:6">
      <c r="A375" s="7">
        <v>45839</v>
      </c>
      <c r="B375" s="5">
        <v>0</v>
      </c>
      <c r="C375" s="5">
        <v>7.1737114428769297E-3</v>
      </c>
      <c r="D375" s="5">
        <v>4.4534526121633401E-3</v>
      </c>
      <c r="E375" s="5">
        <v>1.28369699922524E-2</v>
      </c>
      <c r="F375" s="5">
        <v>1.0471210324708E-2</v>
      </c>
    </row>
    <row r="376" spans="1:6">
      <c r="A376" s="7">
        <v>45840</v>
      </c>
      <c r="B376" s="5">
        <v>1.50943246843473E-2</v>
      </c>
      <c r="C376" s="5">
        <v>4.2734400195791897E-3</v>
      </c>
      <c r="D376" s="5">
        <v>-5.7637300193481601E-3</v>
      </c>
      <c r="E376" s="5">
        <v>1.2674518271775801E-3</v>
      </c>
      <c r="F376" s="5">
        <v>7.7720574513908697E-3</v>
      </c>
    </row>
    <row r="377" spans="1:6">
      <c r="A377" s="7">
        <v>45841</v>
      </c>
      <c r="B377" s="5">
        <v>7.4349369892503497E-3</v>
      </c>
      <c r="C377" s="5">
        <v>-4.2552554406853904E-3</v>
      </c>
      <c r="D377" s="5">
        <v>2.2297050714428202E-3</v>
      </c>
      <c r="E377" s="5">
        <v>6.3290517330083498E-3</v>
      </c>
      <c r="F377" s="5">
        <v>-7.7121184239282697E-3</v>
      </c>
    </row>
    <row r="378" spans="1:6">
      <c r="A378" s="7">
        <v>45842</v>
      </c>
      <c r="B378" s="5">
        <v>0</v>
      </c>
      <c r="C378" s="5">
        <v>1.4244800065264E-3</v>
      </c>
      <c r="D378" s="5">
        <v>5.7840664289414701E-3</v>
      </c>
      <c r="E378" s="5">
        <v>-1.88679245283019E-2</v>
      </c>
      <c r="F378" s="5">
        <v>0</v>
      </c>
    </row>
    <row r="379" spans="1:6">
      <c r="A379" s="7">
        <v>45845</v>
      </c>
      <c r="B379" s="5">
        <v>-7.3800666586666397E-3</v>
      </c>
      <c r="C379" s="5">
        <v>2.8449074991996298E-3</v>
      </c>
      <c r="D379" s="5">
        <v>1.01747043575291E-2</v>
      </c>
      <c r="E379" s="5">
        <v>2.5642152300877599E-3</v>
      </c>
      <c r="F379" s="5">
        <v>1.0362764747668099E-2</v>
      </c>
    </row>
    <row r="380" spans="1:6">
      <c r="A380" s="7">
        <v>45846</v>
      </c>
      <c r="B380" s="5">
        <v>-1.11524054838754E-2</v>
      </c>
      <c r="C380" s="5">
        <v>1.4184399703322E-2</v>
      </c>
      <c r="D380" s="5">
        <v>1.3138911151404601E-3</v>
      </c>
      <c r="E380" s="5">
        <v>4.9871967320528801E-2</v>
      </c>
      <c r="F380" s="5">
        <v>1.28204874734268E-2</v>
      </c>
    </row>
    <row r="381" spans="1:6">
      <c r="A381" s="7">
        <v>45847</v>
      </c>
      <c r="B381" s="5">
        <v>1.12781843690812E-2</v>
      </c>
      <c r="C381" s="5">
        <v>1.2587365367825501E-2</v>
      </c>
      <c r="D381" s="5">
        <v>-1.74935013924016E-3</v>
      </c>
      <c r="E381" s="5">
        <v>3.6540924134291801E-3</v>
      </c>
      <c r="F381" s="5">
        <v>2.53161544003322E-3</v>
      </c>
    </row>
    <row r="382" spans="1:6">
      <c r="A382" s="7">
        <v>45848</v>
      </c>
      <c r="B382" s="5">
        <v>3.7174684946250599E-3</v>
      </c>
      <c r="C382" s="5">
        <v>-1.3811250979865999E-3</v>
      </c>
      <c r="D382" s="5">
        <v>3.72385026399424E-3</v>
      </c>
      <c r="E382" s="5">
        <v>-6.06790205894636E-3</v>
      </c>
      <c r="F382" s="5">
        <v>1.26263011689047E-2</v>
      </c>
    </row>
    <row r="383" spans="1:6">
      <c r="A383" s="7">
        <v>45849</v>
      </c>
      <c r="B383" s="5">
        <v>3.70370010616683E-3</v>
      </c>
      <c r="C383" s="5">
        <v>2.7662101858729801E-3</v>
      </c>
      <c r="D383" s="5">
        <v>3.71029892933583E-3</v>
      </c>
      <c r="E383" s="5">
        <v>-1.34310367952788E-2</v>
      </c>
      <c r="F383" s="5">
        <v>1.7456275265171899E-2</v>
      </c>
    </row>
    <row r="384" spans="1:6">
      <c r="A384" s="7">
        <v>45852</v>
      </c>
      <c r="B384" s="5">
        <v>7.3800666586665304E-3</v>
      </c>
      <c r="C384" s="5">
        <v>6.8965877539193298E-3</v>
      </c>
      <c r="D384" s="5">
        <v>6.5231296698791104E-3</v>
      </c>
      <c r="E384" s="5">
        <v>6.1880583139239899E-3</v>
      </c>
      <c r="F384" s="5">
        <v>-7.3528542147232E-3</v>
      </c>
    </row>
    <row r="385" spans="1:6">
      <c r="A385" s="7">
        <v>45853</v>
      </c>
      <c r="B385" s="5">
        <v>3.6630001440991502E-3</v>
      </c>
      <c r="C385" s="5">
        <v>8.2191930554986799E-3</v>
      </c>
      <c r="D385" s="5">
        <v>-4.3205113459637802E-3</v>
      </c>
      <c r="E385" s="5">
        <v>2.4600307235860298E-2</v>
      </c>
      <c r="F385" s="5">
        <v>-4.9382741828285504E-3</v>
      </c>
    </row>
    <row r="386" spans="1:6">
      <c r="A386" s="7">
        <v>45854</v>
      </c>
      <c r="B386" s="5">
        <v>0</v>
      </c>
      <c r="C386" s="5">
        <v>5.43476955664479E-3</v>
      </c>
      <c r="D386" s="5">
        <v>6.5078378240857103E-4</v>
      </c>
      <c r="E386" s="5">
        <v>1.20044501215166E-3</v>
      </c>
      <c r="F386" s="5">
        <v>4.9627817598683101E-3</v>
      </c>
    </row>
    <row r="387" spans="1:6">
      <c r="A387" s="7">
        <v>45855</v>
      </c>
      <c r="B387" s="5">
        <v>-3.6496315432303899E-3</v>
      </c>
      <c r="C387" s="5">
        <v>-1.3514675533134999E-3</v>
      </c>
      <c r="D387" s="5">
        <v>1.21422513799703E-2</v>
      </c>
      <c r="E387" s="5">
        <v>4.7961397660574202E-3</v>
      </c>
      <c r="F387" s="5">
        <v>2.96295836825256E-2</v>
      </c>
    </row>
    <row r="388" spans="1:6">
      <c r="A388" s="7">
        <v>45856</v>
      </c>
      <c r="B388" s="5">
        <v>7.3260002881983003E-3</v>
      </c>
      <c r="C388" s="5">
        <v>6.7660040823727102E-3</v>
      </c>
      <c r="D388" s="5">
        <v>6.6408945769227401E-3</v>
      </c>
      <c r="E388" s="5">
        <v>2.3867980842693401E-3</v>
      </c>
      <c r="F388" s="5">
        <v>0</v>
      </c>
    </row>
    <row r="389" spans="1:6">
      <c r="A389" s="7">
        <v>45859</v>
      </c>
      <c r="B389" s="5">
        <v>7.2727203369140599E-3</v>
      </c>
      <c r="C389" s="5">
        <v>1.34399797993034E-3</v>
      </c>
      <c r="D389" s="5">
        <v>5.7459914768767098E-3</v>
      </c>
      <c r="E389" s="5">
        <v>3.5714397805430799E-3</v>
      </c>
      <c r="F389" s="5">
        <v>-4.7961061401526903E-3</v>
      </c>
    </row>
    <row r="390" spans="1:6">
      <c r="A390" s="7">
        <v>45860</v>
      </c>
      <c r="B390" s="5">
        <v>7.2202097704794398E-3</v>
      </c>
      <c r="C390" s="5">
        <v>0</v>
      </c>
      <c r="D390" s="5">
        <v>-2.1164294110576101E-4</v>
      </c>
      <c r="E390" s="5">
        <v>2.37229361213531E-3</v>
      </c>
      <c r="F390" s="5">
        <v>0</v>
      </c>
    </row>
    <row r="391" spans="1:6">
      <c r="A391" s="7">
        <v>45861</v>
      </c>
      <c r="B391" s="5">
        <v>1.07526780644991E-2</v>
      </c>
      <c r="C391" s="5">
        <v>-1.3421940738064201E-3</v>
      </c>
      <c r="D391" s="5">
        <v>1.8624335496540498E-2</v>
      </c>
      <c r="E391" s="5">
        <v>-2.1301614601882301E-2</v>
      </c>
      <c r="F391" s="5">
        <v>-4.8193394981641598E-3</v>
      </c>
    </row>
    <row r="392" spans="1:6">
      <c r="A392" s="7">
        <v>45862</v>
      </c>
      <c r="B392" s="5">
        <v>-7.0921919858044601E-3</v>
      </c>
      <c r="C392" s="5">
        <v>1.47849280808354E-2</v>
      </c>
      <c r="D392" s="5">
        <v>2.24391509649162E-2</v>
      </c>
      <c r="E392" s="5">
        <v>7.13419924255769E-2</v>
      </c>
      <c r="F392" s="5">
        <v>2.4212787789585901E-3</v>
      </c>
    </row>
    <row r="393" spans="1:6">
      <c r="A393" s="7">
        <v>45863</v>
      </c>
      <c r="B393" s="5">
        <v>1.42857009050794E-2</v>
      </c>
      <c r="C393" s="5">
        <v>2.6490338213853702E-3</v>
      </c>
      <c r="D393" s="5">
        <v>-3.0481075378835402E-3</v>
      </c>
      <c r="E393" s="5">
        <v>1.1287454163315699E-3</v>
      </c>
      <c r="F393" s="5">
        <v>-1.207721182292E-2</v>
      </c>
    </row>
    <row r="394" spans="1:6">
      <c r="A394" s="7">
        <v>45866</v>
      </c>
      <c r="B394" s="5">
        <v>-3.52112350897083E-3</v>
      </c>
      <c r="C394" s="5">
        <v>3.9630191155430898E-3</v>
      </c>
      <c r="D394" s="5">
        <v>-8.1533029606384293E-3</v>
      </c>
      <c r="E394" s="5">
        <v>-1.8038243586301399E-2</v>
      </c>
      <c r="F394" s="5">
        <v>-4.8899780778358702E-3</v>
      </c>
    </row>
    <row r="395" spans="1:6">
      <c r="A395" s="7">
        <v>45867</v>
      </c>
      <c r="B395" s="5">
        <v>3.5335656299810801E-3</v>
      </c>
      <c r="C395" s="5">
        <v>-7.36842336088291E-2</v>
      </c>
      <c r="D395" s="5">
        <v>-1.23299079902184E-3</v>
      </c>
      <c r="E395" s="5">
        <v>5.7404716253821597E-3</v>
      </c>
      <c r="F395" s="5">
        <v>-9.8280149332439191E-3</v>
      </c>
    </row>
    <row r="396" spans="1:6">
      <c r="A396" s="7">
        <v>45868</v>
      </c>
      <c r="B396" s="5">
        <v>0</v>
      </c>
      <c r="C396" s="5">
        <v>-1.9886352427702599E-2</v>
      </c>
      <c r="D396" s="5">
        <v>-6.9959609234794299E-3</v>
      </c>
      <c r="E396" s="5">
        <v>-3.4246686044586698E-3</v>
      </c>
      <c r="F396" s="5">
        <v>-7.4442034994187702E-3</v>
      </c>
    </row>
    <row r="397" spans="1:6">
      <c r="A397" s="7">
        <v>45869</v>
      </c>
      <c r="B397" s="5">
        <v>-2.1126741053825299E-2</v>
      </c>
      <c r="C397" s="5">
        <v>-1.4492755744664699E-2</v>
      </c>
      <c r="D397" s="5">
        <v>-7.2522557861892699E-3</v>
      </c>
      <c r="E397" s="5">
        <v>4.5819909167728098E-3</v>
      </c>
      <c r="F397" s="5">
        <v>-5.1282223478715796E-3</v>
      </c>
    </row>
    <row r="398" spans="1:6">
      <c r="A398" s="7">
        <v>45870</v>
      </c>
      <c r="B398" s="5">
        <v>-7.1942378173893698E-3</v>
      </c>
      <c r="C398" s="5">
        <v>2.9412066143617E-3</v>
      </c>
      <c r="D398" s="5">
        <v>-6.4704859954135604E-3</v>
      </c>
      <c r="E398" s="5">
        <v>-1.25429474256373E-2</v>
      </c>
      <c r="F398" s="5">
        <v>5.1546565729043703E-3</v>
      </c>
    </row>
    <row r="399" spans="1:6">
      <c r="A399" s="7">
        <v>45873</v>
      </c>
      <c r="B399" s="5">
        <v>1.4492739851898801E-2</v>
      </c>
      <c r="C399" s="5">
        <v>0</v>
      </c>
      <c r="D399" s="5">
        <v>6.0923634350669199E-3</v>
      </c>
      <c r="E399" s="5">
        <v>1.50116727261862E-2</v>
      </c>
      <c r="F399" s="5">
        <v>2.5640987375100201E-2</v>
      </c>
    </row>
    <row r="400" spans="1:6">
      <c r="A400" s="7">
        <v>45874</v>
      </c>
      <c r="B400" s="5">
        <v>-1.07142756788097E-2</v>
      </c>
      <c r="C400" s="5">
        <v>-2.93258128688356E-3</v>
      </c>
      <c r="D400" s="5">
        <v>7.3085396010292899E-3</v>
      </c>
      <c r="E400" s="5">
        <v>1.02389408341583E-2</v>
      </c>
      <c r="F400" s="5">
        <v>0</v>
      </c>
    </row>
    <row r="401" spans="1:6">
      <c r="A401" s="7">
        <v>45875</v>
      </c>
      <c r="B401" s="5">
        <v>-3.6101048852397199E-3</v>
      </c>
      <c r="C401" s="5">
        <v>-1.47064044081491E-3</v>
      </c>
      <c r="D401" s="5">
        <v>1.2645017997790799E-2</v>
      </c>
      <c r="E401" s="5">
        <v>1.12620302333055E-3</v>
      </c>
      <c r="F401" s="5">
        <v>2.5000388016498398E-3</v>
      </c>
    </row>
    <row r="402" spans="1:6">
      <c r="A402" s="7">
        <v>45876</v>
      </c>
      <c r="B402" s="5">
        <v>7.2463699259495097E-3</v>
      </c>
      <c r="C402" s="5">
        <v>5.8910025079805797E-3</v>
      </c>
      <c r="D402" s="5">
        <v>1.84237524201987E-2</v>
      </c>
      <c r="E402" s="5">
        <v>1.12460661010361E-3</v>
      </c>
      <c r="F402" s="5">
        <v>0</v>
      </c>
    </row>
    <row r="403" spans="1:6">
      <c r="A403" s="7">
        <v>45877</v>
      </c>
      <c r="B403" s="5">
        <v>-3.59711890869474E-3</v>
      </c>
      <c r="C403" s="6">
        <v>7.39410623840087E-8</v>
      </c>
      <c r="D403" s="5">
        <v>1.9899585258982298E-2</v>
      </c>
      <c r="E403" s="5">
        <v>-2.3595475293030299E-2</v>
      </c>
      <c r="F403" s="5">
        <v>-7.4813521068157803E-3</v>
      </c>
    </row>
    <row r="404" spans="1:6">
      <c r="A404" s="7">
        <v>45880</v>
      </c>
      <c r="B404" s="5">
        <v>0</v>
      </c>
      <c r="C404" s="5">
        <v>-3.0627864568968399E-3</v>
      </c>
      <c r="D404" s="5">
        <v>1.9696831085358501E-4</v>
      </c>
      <c r="E404" s="5">
        <v>-8.0551129370924901E-3</v>
      </c>
      <c r="F404" s="5">
        <v>-1.25627655388941E-2</v>
      </c>
    </row>
    <row r="405" spans="1:6">
      <c r="A405" s="7">
        <v>45881</v>
      </c>
      <c r="B405" s="5">
        <v>-7.22020977047955E-3</v>
      </c>
      <c r="C405" s="5">
        <v>6.1443918740113901E-3</v>
      </c>
      <c r="D405" s="5">
        <v>4.1379855573351297E-3</v>
      </c>
      <c r="E405" s="5">
        <v>6.9605791843476697E-3</v>
      </c>
      <c r="F405" s="5">
        <v>-2.5445686732100698E-3</v>
      </c>
    </row>
    <row r="406" spans="1:6">
      <c r="A406" s="7">
        <v>45882</v>
      </c>
      <c r="B406" s="5">
        <v>2.5454521179199201E-2</v>
      </c>
      <c r="C406" s="5">
        <v>7.6335123828405998E-3</v>
      </c>
      <c r="D406" s="5">
        <v>9.6154051788930293E-3</v>
      </c>
      <c r="E406" s="5">
        <v>3.2258017341682203E-2</v>
      </c>
      <c r="F406" s="5">
        <v>3.5714283504825903E-2</v>
      </c>
    </row>
    <row r="407" spans="1:6">
      <c r="A407" s="7">
        <v>45883</v>
      </c>
      <c r="B407" s="5">
        <v>-3.5460959929022297E-2</v>
      </c>
      <c r="C407" s="5">
        <v>0</v>
      </c>
      <c r="D407" s="5">
        <v>-4.1419382089817897E-3</v>
      </c>
      <c r="E407" s="5">
        <v>-6.24999114557706E-2</v>
      </c>
      <c r="F407" s="5">
        <v>2.46309243895859E-3</v>
      </c>
    </row>
    <row r="408" spans="1:6">
      <c r="A408" s="7">
        <v>45884</v>
      </c>
      <c r="B408" s="5">
        <v>-7.3529340868178101E-3</v>
      </c>
      <c r="C408" s="5">
        <v>-1.5150781366250999E-3</v>
      </c>
      <c r="D408" s="5">
        <v>-1.1685603821059201E-2</v>
      </c>
      <c r="E408" s="5">
        <v>7.1427633184166801E-3</v>
      </c>
      <c r="F408" s="5">
        <v>7.3710023934039403E-3</v>
      </c>
    </row>
    <row r="409" spans="1:6">
      <c r="A409" s="7">
        <v>45887</v>
      </c>
      <c r="B409" s="5">
        <v>-1.11111003185007E-2</v>
      </c>
      <c r="C409" s="5">
        <v>-4.5524243157808496E-3</v>
      </c>
      <c r="D409" s="5">
        <v>-6.01204273784961E-3</v>
      </c>
      <c r="E409" s="5">
        <v>-3.7825046686687902E-2</v>
      </c>
      <c r="F409" s="5">
        <v>0</v>
      </c>
    </row>
    <row r="410" spans="1:6">
      <c r="A410" s="7">
        <v>45888</v>
      </c>
      <c r="B410" s="5">
        <v>1.12359440196763E-2</v>
      </c>
      <c r="C410" s="5">
        <v>6.0975600780130996E-3</v>
      </c>
      <c r="D410" s="5">
        <v>5.2419839554409499E-3</v>
      </c>
      <c r="E410" s="5">
        <v>-1.84275777421683E-2</v>
      </c>
      <c r="F410" s="5">
        <v>2.4390148687208901E-2</v>
      </c>
    </row>
    <row r="411" spans="1:6">
      <c r="A411" s="7">
        <v>45889</v>
      </c>
      <c r="B411" s="5">
        <v>3.70370010616683E-3</v>
      </c>
      <c r="C411" s="5">
        <v>3.0303025869282698E-3</v>
      </c>
      <c r="D411" s="5">
        <v>2.8078387499457201E-3</v>
      </c>
      <c r="E411" s="5">
        <v>-1.5018822716946999E-2</v>
      </c>
      <c r="F411" s="5">
        <v>-9.5237270373033107E-3</v>
      </c>
    </row>
    <row r="412" spans="1:6">
      <c r="A412" s="7">
        <v>45890</v>
      </c>
      <c r="B412" s="5">
        <v>-3.69003332933326E-3</v>
      </c>
      <c r="C412" s="5">
        <v>0</v>
      </c>
      <c r="D412" s="5">
        <v>1.19999576785608E-2</v>
      </c>
      <c r="E412" s="5">
        <v>-1.2704868328121701E-3</v>
      </c>
      <c r="F412" s="5">
        <v>-1.2019183964472199E-2</v>
      </c>
    </row>
    <row r="413" spans="1:6">
      <c r="A413" s="7">
        <v>45891</v>
      </c>
      <c r="B413" s="5">
        <v>3.70370010616683E-3</v>
      </c>
      <c r="C413" s="5">
        <v>1.5106467335983501E-3</v>
      </c>
      <c r="D413" s="5">
        <v>4.1502814255076599E-3</v>
      </c>
      <c r="E413" s="5">
        <v>2.55743641425954E-3</v>
      </c>
      <c r="F413" s="5">
        <v>2.1897676704154101E-2</v>
      </c>
    </row>
    <row r="414" spans="1:6">
      <c r="A414" s="7">
        <v>45894</v>
      </c>
      <c r="B414" s="5">
        <v>2.2140199975999801E-2</v>
      </c>
      <c r="C414" s="5">
        <v>-1.5083681222215501E-3</v>
      </c>
      <c r="D414" s="5">
        <v>-9.4470038326761596E-3</v>
      </c>
      <c r="E414" s="5">
        <v>-2.5509126174421098E-3</v>
      </c>
      <c r="F414" s="5">
        <v>1.19048320182922E-2</v>
      </c>
    </row>
    <row r="415" spans="1:6">
      <c r="A415" s="7">
        <v>45895</v>
      </c>
      <c r="B415" s="5">
        <v>-3.6101048852397199E-3</v>
      </c>
      <c r="C415" s="5">
        <v>0</v>
      </c>
      <c r="D415" s="5">
        <v>-6.1593595283996301E-3</v>
      </c>
      <c r="E415" s="5">
        <v>-1.4066552479684699E-2</v>
      </c>
      <c r="F415" s="5">
        <v>2.1176456893535301E-2</v>
      </c>
    </row>
    <row r="416" spans="1:6">
      <c r="A416" s="7">
        <v>45896</v>
      </c>
      <c r="B416" s="5">
        <v>-3.62318496297476E-3</v>
      </c>
      <c r="C416" s="5">
        <v>-4.5316484575095304E-3</v>
      </c>
      <c r="D416" s="5">
        <v>2.99877006770877E-3</v>
      </c>
      <c r="E416" s="5">
        <v>7.7820869492795097E-3</v>
      </c>
      <c r="F416" s="5">
        <v>-9.2165095211002006E-3</v>
      </c>
    </row>
    <row r="417" spans="1:6">
      <c r="A417" s="7">
        <v>45897</v>
      </c>
      <c r="B417" s="5">
        <v>-3.6363601684570299E-3</v>
      </c>
      <c r="C417" s="5">
        <v>0</v>
      </c>
      <c r="D417" s="5">
        <v>3.18919861732159E-3</v>
      </c>
      <c r="E417" s="5">
        <v>-1.41570093296692E-2</v>
      </c>
      <c r="F417" s="5">
        <v>2.3255045370291802E-3</v>
      </c>
    </row>
    <row r="418" spans="1:6">
      <c r="A418" s="7">
        <v>45898</v>
      </c>
      <c r="B418" s="5">
        <v>7.2992630864607798E-3</v>
      </c>
      <c r="C418" s="5">
        <v>-1.5175236171572899E-3</v>
      </c>
      <c r="D418" s="5">
        <v>3.77510407062887E-3</v>
      </c>
      <c r="E418" s="5">
        <v>2.6109190366523402E-3</v>
      </c>
      <c r="F418" s="5">
        <v>0</v>
      </c>
    </row>
    <row r="419" spans="1:6">
      <c r="A419" s="7">
        <v>45901</v>
      </c>
      <c r="B419" s="5">
        <v>1.08695548889242E-2</v>
      </c>
      <c r="C419" s="5">
        <v>0</v>
      </c>
      <c r="D419" s="5">
        <v>-6.33412890158203E-3</v>
      </c>
      <c r="E419" s="5">
        <v>-9.1144828633048496E-3</v>
      </c>
      <c r="F419" s="5">
        <v>4.6403307593105899E-3</v>
      </c>
    </row>
    <row r="420" spans="1:6">
      <c r="A420" s="7">
        <v>45902</v>
      </c>
      <c r="B420" s="5">
        <v>-1.0752678064499199E-2</v>
      </c>
      <c r="C420" s="5">
        <v>0</v>
      </c>
      <c r="D420" s="5">
        <v>1.0159386020300001E-2</v>
      </c>
      <c r="E420" s="5">
        <v>1.70826687193903E-2</v>
      </c>
      <c r="F420" s="5">
        <v>1.3856804654853999E-2</v>
      </c>
    </row>
    <row r="421" spans="1:6">
      <c r="A421" s="7">
        <v>45903</v>
      </c>
      <c r="B421" s="5">
        <v>3.6231849629746499E-3</v>
      </c>
      <c r="C421" s="5">
        <v>0</v>
      </c>
      <c r="D421" s="5">
        <v>-6.1132035690435503E-3</v>
      </c>
      <c r="E421" s="5">
        <v>1.80879071887734E-2</v>
      </c>
      <c r="F421" s="5">
        <v>-6.8335984742731197E-3</v>
      </c>
    </row>
    <row r="422" spans="1:6">
      <c r="A422" s="7">
        <v>45904</v>
      </c>
      <c r="B422" s="5">
        <v>-7.22020977047955E-3</v>
      </c>
      <c r="C422" s="5">
        <v>-1.5196832366685101E-3</v>
      </c>
      <c r="D422" s="5">
        <v>2.77775475938213E-3</v>
      </c>
      <c r="E422" s="5">
        <v>8.8832121215707306E-3</v>
      </c>
      <c r="F422" s="5">
        <v>2.2935022035619501E-3</v>
      </c>
    </row>
    <row r="423" spans="1:6">
      <c r="A423" s="7">
        <v>45905</v>
      </c>
      <c r="B423" s="5">
        <v>7.2727203369140599E-3</v>
      </c>
      <c r="C423" s="5">
        <v>0</v>
      </c>
      <c r="D423" s="5">
        <v>5.3423433023600496E-3</v>
      </c>
      <c r="E423" s="5">
        <v>-3.7735171206819702E-3</v>
      </c>
      <c r="F423" s="5">
        <v>4.57661916424179E-3</v>
      </c>
    </row>
    <row r="424" spans="1:6">
      <c r="A424" s="7">
        <v>45908</v>
      </c>
      <c r="B424" s="5">
        <v>7.2202097704794398E-3</v>
      </c>
      <c r="C424" s="5">
        <v>1.5219961887627E-3</v>
      </c>
      <c r="D424" s="5">
        <v>7.8721770131329205E-4</v>
      </c>
      <c r="E424" s="5">
        <v>2.52526832240862E-3</v>
      </c>
      <c r="F424" s="5">
        <v>-1.36674179146742E-2</v>
      </c>
    </row>
    <row r="425" spans="1:6">
      <c r="A425" s="7">
        <v>45909</v>
      </c>
      <c r="B425" s="5">
        <v>0</v>
      </c>
      <c r="C425" s="5">
        <v>-6.0790264634747997E-3</v>
      </c>
      <c r="D425" s="5">
        <v>5.8994885780139195E-4</v>
      </c>
      <c r="E425" s="5">
        <v>-1.25954546614104E-3</v>
      </c>
      <c r="F425" s="5">
        <v>-1.1547299874376299E-2</v>
      </c>
    </row>
    <row r="426" spans="1:6">
      <c r="A426" s="7">
        <v>45910</v>
      </c>
      <c r="B426" s="5">
        <v>-7.16845204299943E-3</v>
      </c>
      <c r="C426" s="5">
        <v>1.5291255899965201E-3</v>
      </c>
      <c r="D426" s="5">
        <v>3.6360058759972599E-2</v>
      </c>
      <c r="E426" s="5">
        <v>1.0088336339620901E-2</v>
      </c>
      <c r="F426" s="5">
        <v>1.63551674584703E-2</v>
      </c>
    </row>
    <row r="427" spans="1:6">
      <c r="A427" s="7">
        <v>45911</v>
      </c>
      <c r="B427" s="5">
        <v>0</v>
      </c>
      <c r="C427" s="5">
        <v>-3.0534344392493299E-3</v>
      </c>
      <c r="D427" s="5">
        <v>-3.0342900040492E-3</v>
      </c>
      <c r="E427" s="5">
        <v>1.74782013675281E-2</v>
      </c>
      <c r="F427" s="5">
        <v>0</v>
      </c>
    </row>
    <row r="428" spans="1:6">
      <c r="A428" s="7">
        <v>45912</v>
      </c>
      <c r="B428" s="5">
        <v>3.6101048852397199E-3</v>
      </c>
      <c r="C428" s="5">
        <v>1.5313192873915901E-3</v>
      </c>
      <c r="D428" s="5">
        <v>-1.48373448719688E-2</v>
      </c>
      <c r="E428" s="5">
        <v>0</v>
      </c>
      <c r="F428" s="5">
        <v>-2.2988862031260199E-3</v>
      </c>
    </row>
    <row r="429" spans="1:6">
      <c r="A429" s="7">
        <v>45915</v>
      </c>
      <c r="B429" s="5">
        <v>-3.59711890869474E-3</v>
      </c>
      <c r="C429" s="5">
        <v>-4.5870814579790399E-3</v>
      </c>
      <c r="D429" s="5">
        <v>-7.53036523066275E-3</v>
      </c>
      <c r="E429" s="5">
        <v>2.4539434144750199E-3</v>
      </c>
      <c r="F429" s="5">
        <v>-9.2165095211002006E-3</v>
      </c>
    </row>
    <row r="430" spans="1:6">
      <c r="A430" s="7">
        <v>45916</v>
      </c>
      <c r="B430" s="5">
        <v>-1.4440419540958999E-2</v>
      </c>
      <c r="C430" s="5">
        <v>1.5360238002846099E-3</v>
      </c>
      <c r="D430" s="5">
        <v>2.5290125274377599E-3</v>
      </c>
      <c r="E430" s="5">
        <v>1.10158917880636E-2</v>
      </c>
      <c r="F430" s="5">
        <v>9.3022437390890608E-3</v>
      </c>
    </row>
    <row r="431" spans="1:6">
      <c r="A431" s="7">
        <v>45917</v>
      </c>
      <c r="B431" s="5">
        <v>3.6630001440991502E-3</v>
      </c>
      <c r="C431" s="5">
        <v>0</v>
      </c>
      <c r="D431" s="5">
        <v>-1.1642504783439E-3</v>
      </c>
      <c r="E431" s="5">
        <v>4.8426454828320899E-3</v>
      </c>
      <c r="F431" s="5">
        <v>2.3041832582277899E-3</v>
      </c>
    </row>
    <row r="432" spans="1:6">
      <c r="A432" s="7">
        <v>45918</v>
      </c>
      <c r="B432" s="5">
        <v>-7.2992630864607798E-3</v>
      </c>
      <c r="C432" s="5">
        <v>-1.5336680496585999E-3</v>
      </c>
      <c r="D432" s="5">
        <v>-4.6628938272413904E-3</v>
      </c>
      <c r="E432" s="5">
        <v>9.6386145723446094E-3</v>
      </c>
      <c r="F432" s="5">
        <v>0</v>
      </c>
    </row>
    <row r="433" spans="1:6">
      <c r="A433" s="7">
        <v>45919</v>
      </c>
      <c r="B433" s="5">
        <v>-3.6764670434089601E-3</v>
      </c>
      <c r="C433" s="5">
        <v>6.1443918740113901E-3</v>
      </c>
      <c r="D433" s="5">
        <v>-1.4835056264919299E-2</v>
      </c>
      <c r="E433" s="5">
        <v>1.31263122225791E-2</v>
      </c>
      <c r="F433" s="5">
        <v>1.37930942207731E-2</v>
      </c>
    </row>
    <row r="434" spans="1:6">
      <c r="A434" s="7">
        <v>45922</v>
      </c>
      <c r="B434" s="5">
        <v>-1.1070099987999901E-2</v>
      </c>
      <c r="C434" s="5">
        <v>-4.5802253741566998E-3</v>
      </c>
      <c r="D434" s="5">
        <v>-3.36845035363964E-3</v>
      </c>
      <c r="E434" s="5">
        <v>4.7114552612566004E-3</v>
      </c>
      <c r="F434" s="5">
        <v>-1.5873042059206099E-2</v>
      </c>
    </row>
    <row r="435" spans="1:6">
      <c r="A435" s="7">
        <v>45923</v>
      </c>
      <c r="B435" s="5">
        <v>7.46267926430089E-3</v>
      </c>
      <c r="C435" s="5">
        <v>1.5338161585962699E-3</v>
      </c>
      <c r="D435" s="5">
        <v>5.36783394247764E-3</v>
      </c>
      <c r="E435" s="5">
        <v>-2.3446238277877699E-3</v>
      </c>
      <c r="F435" s="5">
        <v>-1.61290592957836E-2</v>
      </c>
    </row>
    <row r="436" spans="1:6">
      <c r="A436" s="7">
        <v>45924</v>
      </c>
      <c r="B436" s="5">
        <v>-7.4074002123337701E-3</v>
      </c>
      <c r="C436" s="5">
        <v>-7.6570400832990399E-3</v>
      </c>
      <c r="D436" s="5">
        <v>-4.5480630283840596E-3</v>
      </c>
      <c r="E436" s="5">
        <v>3.5253722462951199E-3</v>
      </c>
      <c r="F436" s="5">
        <v>-2.3418432306509E-3</v>
      </c>
    </row>
    <row r="437" spans="1:6">
      <c r="A437" s="7">
        <v>45925</v>
      </c>
      <c r="B437" s="5">
        <v>-3.7313396321504398E-3</v>
      </c>
      <c r="C437" s="5">
        <v>6.1728385862767103E-3</v>
      </c>
      <c r="D437" s="5">
        <v>-1.3905722221682099E-3</v>
      </c>
      <c r="E437" s="5">
        <v>-1.40516093628709E-2</v>
      </c>
      <c r="F437" s="5">
        <v>2.3473403337215299E-3</v>
      </c>
    </row>
    <row r="438" spans="1:6">
      <c r="A438" s="7">
        <v>45926</v>
      </c>
      <c r="B438" s="5">
        <v>0</v>
      </c>
      <c r="C438" s="5">
        <v>-9.2023785702954903E-3</v>
      </c>
      <c r="D438" s="5">
        <v>3.9783699475770502E-4</v>
      </c>
      <c r="E438" s="5">
        <v>3.5630543043303499E-3</v>
      </c>
      <c r="F438" s="5">
        <v>-2.3418432306509E-3</v>
      </c>
    </row>
    <row r="439" spans="1:6">
      <c r="A439" s="7">
        <v>45929</v>
      </c>
      <c r="B439" s="5">
        <v>3.74531467322536E-3</v>
      </c>
      <c r="C439" s="5">
        <v>4.6438870647205199E-3</v>
      </c>
      <c r="D439" s="5">
        <v>2.3860727005537998E-3</v>
      </c>
      <c r="E439" s="5">
        <v>2.7218844434429498E-2</v>
      </c>
      <c r="F439" s="5">
        <v>-3.2863903218123103E-2</v>
      </c>
    </row>
    <row r="440" spans="1:6">
      <c r="A440" s="7">
        <v>45930</v>
      </c>
      <c r="B440" s="5">
        <v>3.7313396321503301E-3</v>
      </c>
      <c r="C440" s="5">
        <v>4.6224954601221703E-3</v>
      </c>
      <c r="D440" s="5">
        <v>1.46797208482745E-2</v>
      </c>
      <c r="E440" s="5">
        <v>-8.0645386936356606E-3</v>
      </c>
      <c r="F440" s="5">
        <v>2.4272221832426499E-3</v>
      </c>
    </row>
    <row r="441" spans="1:6">
      <c r="A441" s="7">
        <v>45931</v>
      </c>
      <c r="B441" s="5">
        <v>0</v>
      </c>
      <c r="C441" s="5">
        <v>0</v>
      </c>
      <c r="D441" s="5">
        <v>8.4067273726316002E-3</v>
      </c>
      <c r="E441" s="5">
        <v>-4.64578996651532E-3</v>
      </c>
      <c r="F441" s="5">
        <v>2.4212276024408999E-3</v>
      </c>
    </row>
    <row r="442" spans="1:6">
      <c r="A442" s="7">
        <v>45932</v>
      </c>
      <c r="B442" s="5">
        <v>1.11524054838754E-2</v>
      </c>
      <c r="C442" s="5">
        <v>7.6687845751057804E-3</v>
      </c>
      <c r="D442" s="5">
        <v>2.4427945488205299E-2</v>
      </c>
      <c r="E442" s="5">
        <v>2.56710507104763E-2</v>
      </c>
      <c r="F442" s="5">
        <v>1.4492745133714E-2</v>
      </c>
    </row>
    <row r="443" spans="1:6">
      <c r="A443" s="7">
        <v>45933</v>
      </c>
      <c r="B443" s="5">
        <v>0</v>
      </c>
      <c r="C443" s="5">
        <v>0</v>
      </c>
      <c r="D443" s="5">
        <v>3.7856253579837701E-4</v>
      </c>
      <c r="E443" s="5">
        <v>-1.02389991324193E-2</v>
      </c>
      <c r="F443" s="5">
        <v>1.19048320182922E-2</v>
      </c>
    </row>
    <row r="444" spans="1:6">
      <c r="A444" s="7">
        <v>45936</v>
      </c>
      <c r="B444" s="5">
        <v>-3.6764670434089601E-3</v>
      </c>
      <c r="C444" s="5">
        <v>-1.5221431705290101E-3</v>
      </c>
      <c r="D444" s="5">
        <v>6.4320743035173296E-3</v>
      </c>
      <c r="E444" s="5">
        <v>2.75862692738971E-2</v>
      </c>
      <c r="F444" s="5">
        <v>-9.4117966601822197E-3</v>
      </c>
    </row>
    <row r="445" spans="1:6">
      <c r="A445" s="7">
        <v>45937</v>
      </c>
      <c r="B445" s="5">
        <v>3.69003332933326E-3</v>
      </c>
      <c r="C445" s="5">
        <v>1.3719583778447E-2</v>
      </c>
      <c r="D445" s="5">
        <v>3.0075130630189899E-2</v>
      </c>
      <c r="E445" s="5">
        <v>7.8298907205662793E-3</v>
      </c>
      <c r="F445" s="5">
        <v>-2.3753338549129502E-3</v>
      </c>
    </row>
    <row r="446" spans="1:6">
      <c r="A446" s="7">
        <v>45938</v>
      </c>
      <c r="B446" s="5">
        <v>-3.6764670434089601E-3</v>
      </c>
      <c r="C446" s="5">
        <v>1.5036864641644299E-3</v>
      </c>
      <c r="D446" s="5">
        <v>-9.6714686738439398E-3</v>
      </c>
      <c r="E446" s="5">
        <v>-2.2197159772755501E-3</v>
      </c>
      <c r="F446" s="5">
        <v>-2.38087401877141E-3</v>
      </c>
    </row>
    <row r="447" spans="1:6">
      <c r="A447" s="7">
        <v>45939</v>
      </c>
      <c r="B447" s="5">
        <v>-7.3800666586666397E-3</v>
      </c>
      <c r="C447" s="5">
        <v>3.0030025675809001E-3</v>
      </c>
      <c r="D447" s="5">
        <v>-6.6334754692893901E-3</v>
      </c>
      <c r="E447" s="5">
        <v>-1.33481405870722E-2</v>
      </c>
      <c r="F447" s="5">
        <v>1.43197996760664E-2</v>
      </c>
    </row>
    <row r="448" spans="1:6">
      <c r="A448" s="7">
        <v>45940</v>
      </c>
      <c r="B448" s="5">
        <v>-3.71746849462518E-3</v>
      </c>
      <c r="C448" s="5">
        <v>-5.9880230864585203E-3</v>
      </c>
      <c r="D448" s="5">
        <v>-1.1129989422636901E-3</v>
      </c>
      <c r="E448" s="5">
        <v>-3.6076560547238401E-2</v>
      </c>
      <c r="F448" s="5">
        <v>2.35297769567033E-3</v>
      </c>
    </row>
    <row r="449" spans="1:6">
      <c r="A449" s="7">
        <v>45943</v>
      </c>
      <c r="B449" s="5">
        <v>0</v>
      </c>
      <c r="C449" s="5">
        <v>-6.0240955094441597E-3</v>
      </c>
      <c r="D449" s="5">
        <v>-8.3565346447844798E-3</v>
      </c>
      <c r="E449" s="5">
        <v>-9.3567828210603405E-3</v>
      </c>
      <c r="F449" s="5">
        <v>-4.6949083766474296E-3</v>
      </c>
    </row>
    <row r="450" spans="1:6">
      <c r="A450" s="7">
        <v>45944</v>
      </c>
      <c r="B450" s="5">
        <v>-1.11940188964512E-2</v>
      </c>
      <c r="C450" s="5">
        <v>-1.2121210347712999E-2</v>
      </c>
      <c r="D450" s="5">
        <v>-1.4044949469481101E-2</v>
      </c>
      <c r="E450" s="5">
        <v>-2.12515506806479E-2</v>
      </c>
      <c r="F450" s="5">
        <v>-4.71694012374435E-3</v>
      </c>
    </row>
    <row r="451" spans="1:6">
      <c r="A451" s="7">
        <v>45945</v>
      </c>
      <c r="B451" s="5">
        <v>3.7735811710868398E-3</v>
      </c>
      <c r="C451" s="5">
        <v>1.5338161585962699E-3</v>
      </c>
      <c r="D451" s="5">
        <v>1.8993410440189E-3</v>
      </c>
      <c r="E451" s="5">
        <v>8.4438150270729206E-3</v>
      </c>
      <c r="F451" s="5">
        <v>0</v>
      </c>
    </row>
    <row r="452" spans="1:6">
      <c r="A452" s="7">
        <v>45946</v>
      </c>
      <c r="B452" s="5">
        <v>-3.7593947896937801E-3</v>
      </c>
      <c r="C452" s="5">
        <v>0</v>
      </c>
      <c r="D452" s="5">
        <v>-4.5498221701865101E-3</v>
      </c>
      <c r="E452" s="5">
        <v>-1.19616246316318E-2</v>
      </c>
      <c r="F452" s="5">
        <v>-4.7394100287323502E-3</v>
      </c>
    </row>
    <row r="453" spans="1:6">
      <c r="A453" s="7">
        <v>45947</v>
      </c>
      <c r="B453" s="5">
        <v>-7.5471623421736701E-3</v>
      </c>
      <c r="C453" s="5">
        <v>1.5313192873915901E-3</v>
      </c>
      <c r="D453" s="5">
        <v>-9.7123826402124597E-3</v>
      </c>
      <c r="E453" s="5">
        <v>-1.9370405514370598E-2</v>
      </c>
      <c r="F453" s="5">
        <v>2.3809894998800801E-3</v>
      </c>
    </row>
    <row r="454" spans="1:6">
      <c r="A454" s="7">
        <v>45951</v>
      </c>
      <c r="B454" s="5">
        <v>0</v>
      </c>
      <c r="C454" s="5">
        <v>6.1162070479754398E-3</v>
      </c>
      <c r="D454" s="5">
        <v>6.3461503157584698E-3</v>
      </c>
      <c r="E454" s="5">
        <v>1.8518544060121701E-2</v>
      </c>
      <c r="F454" s="5">
        <v>1.6627106570785501E-2</v>
      </c>
    </row>
    <row r="455" spans="1:6">
      <c r="A455" s="7">
        <v>45952</v>
      </c>
      <c r="B455" s="5">
        <v>3.8022775772321698E-3</v>
      </c>
      <c r="C455" s="5">
        <v>9.1185396952122594E-3</v>
      </c>
      <c r="D455" s="5">
        <v>8.5992621754915604E-3</v>
      </c>
      <c r="E455" s="5">
        <v>2.3030181137222001E-2</v>
      </c>
      <c r="F455" s="5">
        <v>-2.3364848719460399E-3</v>
      </c>
    </row>
    <row r="456" spans="1:6">
      <c r="A456" s="7">
        <v>45953</v>
      </c>
      <c r="B456" s="5">
        <v>3.7878750249593601E-3</v>
      </c>
      <c r="C456" s="5">
        <v>-1.5059511612257599E-3</v>
      </c>
      <c r="D456" s="5">
        <v>6.8208165581826697E-3</v>
      </c>
      <c r="E456" s="5">
        <v>4.7393664960455597E-3</v>
      </c>
      <c r="F456" s="5">
        <v>9.3677136865215598E-3</v>
      </c>
    </row>
    <row r="457" spans="1:6">
      <c r="A457" s="7">
        <v>45954</v>
      </c>
      <c r="B457" s="5">
        <v>7.5471623421736701E-3</v>
      </c>
      <c r="C457" s="5">
        <v>-1.5083681222215501E-3</v>
      </c>
      <c r="D457" s="5">
        <v>1.6935771986694699E-3</v>
      </c>
      <c r="E457" s="5">
        <v>1.17924698520857E-2</v>
      </c>
      <c r="F457" s="5">
        <v>0</v>
      </c>
    </row>
    <row r="458" spans="1:6">
      <c r="A458" s="7">
        <v>45957</v>
      </c>
      <c r="B458" s="5">
        <v>1.12359440196763E-2</v>
      </c>
      <c r="C458" s="5">
        <v>3.02114759555394E-3</v>
      </c>
      <c r="D458" s="5">
        <v>6.3873653625443599E-3</v>
      </c>
      <c r="E458" s="5">
        <v>0</v>
      </c>
      <c r="F458" s="5">
        <v>4.6403307593105899E-3</v>
      </c>
    </row>
    <row r="459" spans="1:6">
      <c r="A459" s="7">
        <v>45958</v>
      </c>
      <c r="B459" s="5">
        <v>0</v>
      </c>
      <c r="C459" s="5">
        <v>1.5060238773610299E-2</v>
      </c>
      <c r="D459" s="5">
        <v>8.9602815326887998E-3</v>
      </c>
      <c r="E459" s="5">
        <v>-2.33096036654057E-3</v>
      </c>
      <c r="F459" s="5">
        <v>-9.2377950938985504E-3</v>
      </c>
    </row>
    <row r="460" spans="1:6">
      <c r="A460" s="7">
        <v>45959</v>
      </c>
      <c r="B460" s="5">
        <v>-7.4074002123337701E-3</v>
      </c>
      <c r="C460" s="5">
        <v>-1.4836076753880201E-3</v>
      </c>
      <c r="D460" s="5">
        <v>-6.4754686422930901E-3</v>
      </c>
      <c r="E460" s="5">
        <v>0</v>
      </c>
      <c r="F460" s="5">
        <v>4.66196381339246E-3</v>
      </c>
    </row>
    <row r="461" spans="1:6">
      <c r="A461" s="7">
        <v>45960</v>
      </c>
      <c r="B461" s="5">
        <v>-1.11940188964512E-2</v>
      </c>
      <c r="C461" s="5">
        <v>-7.4294906498587601E-3</v>
      </c>
      <c r="D461" s="5">
        <v>5.21410927867616E-3</v>
      </c>
      <c r="E461" s="5">
        <v>-2.3364064373462301E-3</v>
      </c>
      <c r="F461" s="5">
        <v>-4.6403307593104702E-3</v>
      </c>
    </row>
    <row r="462" spans="1:6">
      <c r="A462" s="7">
        <v>45961</v>
      </c>
      <c r="B462" s="5">
        <v>-3.7735811710868398E-3</v>
      </c>
      <c r="C462" s="5">
        <v>-7.4849565773638096E-3</v>
      </c>
      <c r="D462" s="5">
        <v>-9.2630868457677096E-4</v>
      </c>
      <c r="E462" s="5">
        <v>-5.8549794285120997E-3</v>
      </c>
      <c r="F462" s="5">
        <v>-9.3240406852018697E-3</v>
      </c>
    </row>
    <row r="463" spans="1:6">
      <c r="A463" s="7">
        <v>45964</v>
      </c>
      <c r="B463" s="5">
        <v>7.5757500499189501E-3</v>
      </c>
      <c r="C463" s="5">
        <v>0</v>
      </c>
      <c r="D463" s="5">
        <v>-2.5959363200897E-3</v>
      </c>
      <c r="E463" s="5">
        <v>9.4229105225132094E-3</v>
      </c>
      <c r="F463" s="5">
        <v>2.35297769567033E-3</v>
      </c>
    </row>
    <row r="464" spans="1:6">
      <c r="A464" s="7">
        <v>45965</v>
      </c>
      <c r="B464" s="5">
        <v>0</v>
      </c>
      <c r="C464" s="5">
        <v>-4.5249587150497702E-3</v>
      </c>
      <c r="D464" s="5">
        <v>-5.3913607786026897E-3</v>
      </c>
      <c r="E464" s="5">
        <v>-1.1668515141319899E-2</v>
      </c>
      <c r="F464" s="5">
        <v>-4.6949083766474296E-3</v>
      </c>
    </row>
    <row r="465" spans="1:6">
      <c r="A465" s="7">
        <v>45966</v>
      </c>
      <c r="B465" s="5">
        <v>-3.7593947896937801E-3</v>
      </c>
      <c r="C465" s="5">
        <v>-4.5453807235533699E-3</v>
      </c>
      <c r="D465" s="5">
        <v>0</v>
      </c>
      <c r="E465" s="5">
        <v>-1.1806391556956701E-2</v>
      </c>
      <c r="F465" s="5">
        <v>7.0754673814468197E-3</v>
      </c>
    </row>
    <row r="466" spans="1:6">
      <c r="A466" s="7">
        <v>45967</v>
      </c>
      <c r="B466" s="5">
        <v>0</v>
      </c>
      <c r="C466" s="5">
        <v>4.5661355480546301E-3</v>
      </c>
      <c r="D466" s="5">
        <v>3.8130856102122697E-2</v>
      </c>
      <c r="E466" s="5">
        <v>1.19477960007264E-3</v>
      </c>
      <c r="F466" s="5">
        <v>5.3864211712533E-2</v>
      </c>
    </row>
    <row r="467" spans="1:6">
      <c r="A467" s="7">
        <v>45968</v>
      </c>
      <c r="B467" s="5">
        <v>1.13207435132605E-2</v>
      </c>
      <c r="C467" s="5">
        <v>-3.0303025869282698E-3</v>
      </c>
      <c r="D467" s="5">
        <v>-1.0082811559586201E-2</v>
      </c>
      <c r="E467" s="5">
        <v>-1.07399523933677E-2</v>
      </c>
      <c r="F467" s="5">
        <v>2.8888906134066701E-2</v>
      </c>
    </row>
    <row r="468" spans="1:6">
      <c r="A468" s="7">
        <v>45971</v>
      </c>
      <c r="B468" s="5">
        <v>0</v>
      </c>
      <c r="C468" s="5">
        <v>6.0790264634746896E-3</v>
      </c>
      <c r="D468" s="5">
        <v>-1.29137472373805E-2</v>
      </c>
      <c r="E468" s="5">
        <v>-1.32689358894658E-2</v>
      </c>
      <c r="F468" s="5">
        <v>-6.4794773426233299E-3</v>
      </c>
    </row>
    <row r="469" spans="1:6">
      <c r="A469" s="7">
        <v>45972</v>
      </c>
      <c r="B469" s="5">
        <v>0</v>
      </c>
      <c r="C469" s="5">
        <v>6.04229519110788E-3</v>
      </c>
      <c r="D469" s="5">
        <v>1.49254114214044E-2</v>
      </c>
      <c r="E469" s="5">
        <v>7.3349496777703801E-3</v>
      </c>
      <c r="F469" s="5">
        <v>4.3477880371352003E-3</v>
      </c>
    </row>
    <row r="470" spans="1:6">
      <c r="A470" s="7">
        <v>45973</v>
      </c>
      <c r="B470" s="5">
        <v>3.7313396321503301E-3</v>
      </c>
      <c r="C470" s="5">
        <v>3.0030025675809001E-3</v>
      </c>
      <c r="D470" s="5">
        <v>-5.4471450366822005E-4</v>
      </c>
      <c r="E470" s="5">
        <v>6.0679106583036999E-3</v>
      </c>
      <c r="F470" s="5">
        <v>2.1645043005162699E-2</v>
      </c>
    </row>
    <row r="471" spans="1:6">
      <c r="A471" s="7">
        <v>45974</v>
      </c>
      <c r="B471" s="5">
        <v>1.11524054838754E-2</v>
      </c>
      <c r="C471" s="5">
        <v>-4.4909450341346097E-3</v>
      </c>
      <c r="D471" s="5">
        <v>-1.6575773633645801E-3</v>
      </c>
      <c r="E471" s="5">
        <v>4.7044664740524503E-2</v>
      </c>
      <c r="F471" s="5">
        <v>2.3305035325839898E-2</v>
      </c>
    </row>
    <row r="472" spans="1:6">
      <c r="A472" s="7">
        <v>45975</v>
      </c>
      <c r="B472" s="5">
        <v>-1.8382335217044601E-2</v>
      </c>
      <c r="C472" s="5">
        <v>-1.95489405290914E-2</v>
      </c>
      <c r="D472" s="5">
        <v>-4.0582213232741599E-3</v>
      </c>
      <c r="E472" s="5">
        <v>-2.1889510134339301E-2</v>
      </c>
      <c r="F472" s="5">
        <v>6.2112768002775499E-3</v>
      </c>
    </row>
    <row r="473" spans="1:6">
      <c r="A473" s="7">
        <v>45978</v>
      </c>
      <c r="B473" s="5">
        <v>3.74531467322536E-3</v>
      </c>
      <c r="C473" s="5">
        <v>-4.6012263123821296E-3</v>
      </c>
      <c r="D473" s="5">
        <v>1.85232769791543E-4</v>
      </c>
      <c r="E473" s="5">
        <v>2.2379383884683302E-2</v>
      </c>
      <c r="F473" s="5">
        <v>4.1151901964362504E-3</v>
      </c>
    </row>
    <row r="474" spans="1:6">
      <c r="A474" s="7">
        <v>45979</v>
      </c>
      <c r="B474" s="5">
        <v>-1.49253585286016E-2</v>
      </c>
      <c r="C474" s="5">
        <v>-1.5408318200407199E-3</v>
      </c>
      <c r="D474" s="5">
        <v>-5.9259149468965404E-3</v>
      </c>
      <c r="E474" s="5">
        <v>-9.2166476271357007E-3</v>
      </c>
      <c r="F474" s="5">
        <v>-2.04921209991271E-3</v>
      </c>
    </row>
    <row r="475" spans="1:6">
      <c r="A475" s="7">
        <v>45980</v>
      </c>
      <c r="B475" s="5">
        <v>0</v>
      </c>
      <c r="C475" s="5">
        <v>-3.0863447815431301E-3</v>
      </c>
      <c r="D475" s="5">
        <v>3.7260495520730102E-4</v>
      </c>
      <c r="E475" s="5">
        <v>6.9767318390854304E-3</v>
      </c>
      <c r="F475" s="5">
        <v>-2.05332039944983E-3</v>
      </c>
    </row>
    <row r="476" spans="1:6">
      <c r="A476" s="7">
        <v>45981</v>
      </c>
      <c r="B476" s="5">
        <v>-7.57584035998316E-3</v>
      </c>
      <c r="C476" s="5">
        <v>1.5479125267232601E-3</v>
      </c>
      <c r="D476" s="5">
        <v>2.7932771097911599E-3</v>
      </c>
      <c r="E476" s="5">
        <v>-2.3093151914597202E-3</v>
      </c>
      <c r="F476" s="5">
        <v>6.6972761901891199E-3</v>
      </c>
    </row>
    <row r="477" spans="1:6">
      <c r="A477" s="7">
        <v>45982</v>
      </c>
      <c r="B477" s="5">
        <v>-7.6335808397357497E-3</v>
      </c>
      <c r="C477" s="5">
        <v>1.5455948234104301E-3</v>
      </c>
      <c r="D477" s="5">
        <v>-3.3426394502272801E-3</v>
      </c>
      <c r="E477" s="5">
        <v>-2.0930328000184399E-2</v>
      </c>
      <c r="F477" s="5">
        <v>-1.45530504145757E-2</v>
      </c>
    </row>
    <row r="478" spans="1:6">
      <c r="A478" s="7">
        <v>45985</v>
      </c>
      <c r="B478" s="5">
        <v>1.15385426572119E-2</v>
      </c>
      <c r="C478" s="5">
        <v>-1.54320964656918E-3</v>
      </c>
      <c r="D478" s="5">
        <v>-5.4034130774643901E-3</v>
      </c>
      <c r="E478" s="5">
        <v>9.5011298181495504E-3</v>
      </c>
      <c r="F478" s="5">
        <v>1.0548563955535399E-2</v>
      </c>
    </row>
    <row r="479" spans="1:6">
      <c r="A479" s="7">
        <v>45986</v>
      </c>
      <c r="B479" s="5">
        <v>0</v>
      </c>
      <c r="C479" s="5">
        <v>-3.0911896468206498E-3</v>
      </c>
      <c r="D479" s="5">
        <v>2.2480472358925598E-3</v>
      </c>
      <c r="E479" s="5">
        <v>-2.3529383658948699E-2</v>
      </c>
      <c r="F479" s="5">
        <v>-4.1753613957810102E-3</v>
      </c>
    </row>
    <row r="480" spans="1:6">
      <c r="A480" s="7">
        <v>45987</v>
      </c>
      <c r="B480" s="5">
        <v>0</v>
      </c>
      <c r="C480" s="5">
        <v>4.6511620943428004E-3</v>
      </c>
      <c r="D480" s="5">
        <v>6.3551559777918999E-3</v>
      </c>
      <c r="E480" s="5">
        <v>0</v>
      </c>
      <c r="F480" s="5">
        <v>-2.0963840848350298E-3</v>
      </c>
    </row>
    <row r="481" spans="1:6">
      <c r="A481" s="7">
        <v>45988</v>
      </c>
      <c r="B481" s="5">
        <v>3.8022775772321698E-3</v>
      </c>
      <c r="C481" s="5">
        <v>0</v>
      </c>
      <c r="D481" s="5">
        <v>2.97176267988997E-3</v>
      </c>
      <c r="E481" s="5">
        <v>-2.4096239562966301E-3</v>
      </c>
      <c r="F481" s="5">
        <v>-4.2017766390675098E-3</v>
      </c>
    </row>
    <row r="482" spans="1:6">
      <c r="A482" s="7">
        <v>45989</v>
      </c>
      <c r="B482" s="5">
        <v>3.7878750249593601E-3</v>
      </c>
      <c r="C482" s="5">
        <v>1.54320964656907E-3</v>
      </c>
      <c r="D482" s="5">
        <v>3.7036786779749398E-3</v>
      </c>
      <c r="E482" s="5">
        <v>2.4154442686714602E-3</v>
      </c>
      <c r="F482" s="5">
        <v>-2.10965243197025E-3</v>
      </c>
    </row>
    <row r="483" spans="1:6">
      <c r="A483" s="7">
        <v>45992</v>
      </c>
      <c r="B483" s="5">
        <v>3.7735811710868398E-3</v>
      </c>
      <c r="C483" s="5">
        <v>1.5408318200407199E-3</v>
      </c>
      <c r="D483" s="5">
        <v>-2.9519517373988199E-3</v>
      </c>
      <c r="E483" s="5">
        <v>-7.22887186888976E-3</v>
      </c>
      <c r="F483" s="5">
        <v>-6.3425390459567197E-3</v>
      </c>
    </row>
    <row r="484" spans="1:6">
      <c r="A484" s="7">
        <v>45993</v>
      </c>
      <c r="B484" s="5">
        <v>0</v>
      </c>
      <c r="C484" s="5">
        <v>-1.53846130990054E-3</v>
      </c>
      <c r="D484" s="5">
        <v>1.8503959217091E-3</v>
      </c>
      <c r="E484" s="5">
        <v>0</v>
      </c>
      <c r="F484" s="5">
        <v>2.1277083590773901E-3</v>
      </c>
    </row>
    <row r="485" spans="1:6">
      <c r="A485" s="7">
        <v>45994</v>
      </c>
      <c r="B485" s="5">
        <v>-1.50376687898169E-2</v>
      </c>
      <c r="C485" s="5">
        <v>-6.16332728016289E-3</v>
      </c>
      <c r="D485" s="5">
        <v>5.3565051434507601E-3</v>
      </c>
      <c r="E485" s="5">
        <v>-8.4951524670454602E-3</v>
      </c>
      <c r="F485" s="5">
        <v>4.2462804170979602E-3</v>
      </c>
    </row>
    <row r="486" spans="1:6">
      <c r="A486" s="7">
        <v>45995</v>
      </c>
      <c r="B486" s="5">
        <v>-3.8167904198678198E-3</v>
      </c>
      <c r="C486" s="5">
        <v>-1.5503125066203001E-3</v>
      </c>
      <c r="D486" s="5">
        <v>-4.0419623083680599E-3</v>
      </c>
      <c r="E486" s="5">
        <v>1.2240419256255299E-3</v>
      </c>
      <c r="F486" s="5">
        <v>-1.6913303040900399E-2</v>
      </c>
    </row>
    <row r="487" spans="1:6">
      <c r="A487" s="7">
        <v>45996</v>
      </c>
      <c r="B487" s="5">
        <v>0</v>
      </c>
      <c r="C487" s="5">
        <v>-4.7170140217862597E-3</v>
      </c>
      <c r="D487" s="5">
        <v>-9.2226052329069696E-4</v>
      </c>
      <c r="E487" s="5">
        <v>-1.2225454787036E-3</v>
      </c>
      <c r="F487" s="5">
        <v>-1.5053800048545099E-2</v>
      </c>
    </row>
    <row r="488" spans="1:6">
      <c r="A488" s="7">
        <v>45999</v>
      </c>
      <c r="B488" s="5">
        <v>0</v>
      </c>
      <c r="C488" s="5">
        <v>-1.5797396785469701E-3</v>
      </c>
      <c r="D488" s="5">
        <v>-3.5080859036622498E-3</v>
      </c>
      <c r="E488" s="5">
        <v>2.4478471384439299E-3</v>
      </c>
      <c r="F488" s="5">
        <v>-4.3668081353000999E-3</v>
      </c>
    </row>
    <row r="489" spans="1:6">
      <c r="A489" s="7">
        <v>46000</v>
      </c>
      <c r="B489" s="5">
        <v>-7.6628282491862897E-3</v>
      </c>
      <c r="C489" s="5">
        <v>-6.3291077162285197E-3</v>
      </c>
      <c r="D489" s="5">
        <v>2.7792302787583698E-3</v>
      </c>
      <c r="E489" s="5">
        <v>4.8839757635978902E-3</v>
      </c>
      <c r="F489" s="5">
        <v>6.5789934615794196E-3</v>
      </c>
    </row>
    <row r="490" spans="1:6">
      <c r="A490" s="7">
        <v>46001</v>
      </c>
      <c r="B490" s="5">
        <v>0</v>
      </c>
      <c r="C490" s="5">
        <v>-3.1847102322188898E-3</v>
      </c>
      <c r="D490" s="5">
        <v>0</v>
      </c>
      <c r="E490" s="5">
        <v>-1.21500087238968E-3</v>
      </c>
      <c r="F490" s="5">
        <v>-2.17869903036882E-3</v>
      </c>
    </row>
    <row r="491" spans="1:6">
      <c r="A491" s="7">
        <v>46002</v>
      </c>
      <c r="B491" s="5">
        <v>0</v>
      </c>
      <c r="C491" s="5">
        <v>3.1948850152177001E-3</v>
      </c>
      <c r="D491" s="5">
        <v>4.9889091051180702E-3</v>
      </c>
      <c r="E491" s="5">
        <v>-1.2164788953087399E-3</v>
      </c>
      <c r="F491" s="5">
        <v>-4.3668081353000999E-3</v>
      </c>
    </row>
    <row r="492" spans="1:6">
      <c r="A492" s="7">
        <v>46003</v>
      </c>
      <c r="B492" s="5">
        <v>1.54440932807658E-2</v>
      </c>
      <c r="C492" s="5">
        <v>7.9617376158067597E-3</v>
      </c>
      <c r="D492" s="5">
        <v>1.1950790506192899E-2</v>
      </c>
      <c r="E492" s="5">
        <v>1.5834428979569101E-2</v>
      </c>
      <c r="F492" s="5">
        <v>2.1929803922675899E-2</v>
      </c>
    </row>
    <row r="493" spans="1:6">
      <c r="A493" s="7">
        <v>46006</v>
      </c>
      <c r="B493" s="5">
        <v>0</v>
      </c>
      <c r="C493" s="5">
        <v>-1.5797396785469701E-3</v>
      </c>
      <c r="D493" s="5">
        <v>4.5421204688391699E-3</v>
      </c>
      <c r="E493" s="5">
        <v>-9.5923831378674808E-3</v>
      </c>
      <c r="F493" s="5">
        <v>2.145971933323E-3</v>
      </c>
    </row>
    <row r="494" spans="1:6">
      <c r="A494" s="7">
        <v>46007</v>
      </c>
      <c r="B494" s="5">
        <v>-3.8023682306803602E-3</v>
      </c>
      <c r="C494" s="5">
        <v>-3.16455385811421E-3</v>
      </c>
      <c r="D494" s="5">
        <v>3.6173372758812098E-3</v>
      </c>
      <c r="E494" s="5">
        <v>-4.8427025996206101E-3</v>
      </c>
      <c r="F494" s="5">
        <v>-2.35546320593851E-2</v>
      </c>
    </row>
    <row r="495" spans="1:6">
      <c r="A495" s="7">
        <v>46008</v>
      </c>
      <c r="B495" s="5">
        <v>1.14504622590652E-2</v>
      </c>
      <c r="C495" s="5">
        <v>-3.1746000509534902E-3</v>
      </c>
      <c r="D495" s="5">
        <v>-4.5052857565164297E-3</v>
      </c>
      <c r="E495" s="5">
        <v>0</v>
      </c>
      <c r="F495" s="5">
        <v>-2.1929281074908298E-3</v>
      </c>
    </row>
    <row r="496" spans="1:6">
      <c r="A496" s="7">
        <v>46009</v>
      </c>
      <c r="B496" s="5">
        <v>-3.7735811710868398E-3</v>
      </c>
      <c r="C496" s="5">
        <v>4.7770273835878703E-3</v>
      </c>
      <c r="D496" s="5">
        <v>-2.17242353814195E-3</v>
      </c>
      <c r="E496" s="5">
        <v>-6.0826297495142302E-3</v>
      </c>
      <c r="F496" s="5">
        <v>-4.3956000193669E-3</v>
      </c>
    </row>
    <row r="497" spans="1:6">
      <c r="A497" s="7">
        <v>46010</v>
      </c>
      <c r="B497" s="5">
        <v>1.8939375124797299E-2</v>
      </c>
      <c r="C497" s="5">
        <v>1.5848223411283301E-3</v>
      </c>
      <c r="D497" s="5">
        <v>-4.5355283050563201E-3</v>
      </c>
      <c r="E497" s="5">
        <v>1.2240419256255299E-3</v>
      </c>
      <c r="F497" s="5">
        <v>2.20745068025074E-3</v>
      </c>
    </row>
    <row r="498" spans="1:6">
      <c r="A498" s="7">
        <v>46013</v>
      </c>
      <c r="B498" s="5">
        <v>-7.4349369892502404E-3</v>
      </c>
      <c r="C498" s="5">
        <v>1.5822392045994301E-3</v>
      </c>
      <c r="D498" s="5">
        <v>1.51266753233381E-2</v>
      </c>
      <c r="E498" s="5">
        <v>2.44498456687052E-2</v>
      </c>
      <c r="F498" s="5">
        <v>0</v>
      </c>
    </row>
    <row r="499" spans="1:6">
      <c r="A499" s="7">
        <v>46014</v>
      </c>
      <c r="B499" s="5">
        <v>7.4906293464509499E-3</v>
      </c>
      <c r="C499" s="5">
        <v>4.7393696950923702E-3</v>
      </c>
      <c r="D499" s="5">
        <v>1.1490104326912901E-2</v>
      </c>
      <c r="E499" s="5">
        <v>9.5464809957732707E-3</v>
      </c>
      <c r="F499" s="5">
        <v>2.2026936048153999E-3</v>
      </c>
    </row>
    <row r="500" spans="1:6">
      <c r="A500" s="7">
        <v>46015</v>
      </c>
      <c r="B500" s="5">
        <v>3.7174684946250599E-3</v>
      </c>
      <c r="C500" s="5">
        <v>6.2893020461187703E-3</v>
      </c>
      <c r="D500" s="5">
        <v>-7.1002607514358796E-4</v>
      </c>
      <c r="E500" s="5">
        <v>-1.30022281500365E-2</v>
      </c>
      <c r="F500" s="5">
        <v>0</v>
      </c>
    </row>
    <row r="501" spans="1:6">
      <c r="A501" s="7">
        <v>46017</v>
      </c>
      <c r="B501" s="5">
        <v>-3.7037001061669401E-3</v>
      </c>
      <c r="C501" s="5">
        <v>1.56246123369841E-3</v>
      </c>
      <c r="D501" s="5">
        <v>-1.2432891237811299E-3</v>
      </c>
      <c r="E501" s="5">
        <v>2.3950789361597601E-3</v>
      </c>
      <c r="F501" s="5">
        <v>6.5933476293649198E-3</v>
      </c>
    </row>
    <row r="502" spans="1:6">
      <c r="A502" s="7">
        <v>46020</v>
      </c>
      <c r="B502" s="5">
        <v>3.7174684946250599E-3</v>
      </c>
      <c r="C502" s="5">
        <v>3.1201219036827198E-3</v>
      </c>
      <c r="D502" s="5">
        <v>-5.3349152480408602E-4</v>
      </c>
      <c r="E502" s="5">
        <v>0</v>
      </c>
      <c r="F502" s="5">
        <v>-2.1833520111909101E-3</v>
      </c>
    </row>
    <row r="503" spans="1:6">
      <c r="A503" s="7">
        <v>46021</v>
      </c>
      <c r="B503" s="5">
        <v>3.70370010616683E-3</v>
      </c>
      <c r="C503" s="5">
        <v>-3.1104170233984302E-3</v>
      </c>
      <c r="D503" s="5">
        <v>5.33811195521361E-3</v>
      </c>
      <c r="E503" s="5">
        <v>8.3632089509475503E-3</v>
      </c>
      <c r="F503" s="5">
        <v>2.18812946806568E-3</v>
      </c>
    </row>
    <row r="504" spans="1:6">
      <c r="A504" s="7">
        <v>46022</v>
      </c>
      <c r="B504" s="5">
        <v>0</v>
      </c>
      <c r="C504" s="5">
        <v>-1.56002375705433E-3</v>
      </c>
      <c r="D504" s="5">
        <v>-2.4779147962289399E-3</v>
      </c>
      <c r="E504" s="5">
        <v>-2.36965385730681E-3</v>
      </c>
      <c r="F504" s="5">
        <v>-6.5501601464910096E-3</v>
      </c>
    </row>
    <row r="505" spans="1:6">
      <c r="A505" s="7">
        <v>46024</v>
      </c>
      <c r="B505" s="5">
        <v>1.10700999879998E-2</v>
      </c>
      <c r="C505" s="5">
        <v>7.8124551801017602E-3</v>
      </c>
      <c r="D505" s="5">
        <v>7.0970448309082301E-4</v>
      </c>
      <c r="E505" s="5">
        <v>-1.18769864839852E-3</v>
      </c>
      <c r="F505" s="5">
        <v>6.5933476293649198E-3</v>
      </c>
    </row>
    <row r="506" spans="1:6">
      <c r="A506" s="7">
        <v>46027</v>
      </c>
      <c r="B506" s="5">
        <v>-3.6496315432303899E-3</v>
      </c>
      <c r="C506" s="5">
        <v>3.1007723283627002E-3</v>
      </c>
      <c r="D506" s="5">
        <v>4.4326637672083002E-3</v>
      </c>
      <c r="E506" s="5">
        <v>3.5671833891478801E-2</v>
      </c>
      <c r="F506" s="5">
        <v>-1.0916968281791201E-2</v>
      </c>
    </row>
    <row r="507" spans="1:6">
      <c r="A507" s="7">
        <v>46028</v>
      </c>
      <c r="B507" s="5">
        <v>1.09890004322974E-2</v>
      </c>
      <c r="C507" s="5">
        <v>0</v>
      </c>
      <c r="D507" s="5">
        <v>2.2594838303073898E-2</v>
      </c>
      <c r="E507" s="5">
        <v>-3.4442405279777599E-3</v>
      </c>
      <c r="F507" s="5">
        <v>2.20745068025074E-3</v>
      </c>
    </row>
    <row r="508" spans="1:6">
      <c r="A508" s="7">
        <v>46029</v>
      </c>
      <c r="B508" s="5">
        <v>7.2463699259495097E-3</v>
      </c>
      <c r="C508" s="5">
        <v>1.5456304800807201E-3</v>
      </c>
      <c r="D508" s="5">
        <v>8.1132802060615E-3</v>
      </c>
      <c r="E508" s="5">
        <v>2.53454668240112E-2</v>
      </c>
      <c r="F508" s="5">
        <v>-3.3039668860747801E-2</v>
      </c>
    </row>
    <row r="509" spans="1:6">
      <c r="A509" s="7">
        <v>46030</v>
      </c>
      <c r="B509" s="5">
        <v>2.1582713452168199E-2</v>
      </c>
      <c r="C509" s="5">
        <v>-3.0864168005625401E-3</v>
      </c>
      <c r="D509" s="5">
        <v>-1.8150709572321799E-2</v>
      </c>
      <c r="E509" s="5">
        <v>1.12359965623605E-2</v>
      </c>
      <c r="F509" s="5">
        <v>1.82232177993433E-2</v>
      </c>
    </row>
    <row r="510" spans="1:6">
      <c r="A510" s="7">
        <v>46031</v>
      </c>
      <c r="B510" s="5">
        <v>1.7605701495060799E-2</v>
      </c>
      <c r="C510" s="5">
        <v>-4.6439952989466597E-3</v>
      </c>
      <c r="D510" s="5">
        <v>4.5342710783597999E-3</v>
      </c>
      <c r="E510" s="5">
        <v>-3.3332595569592902E-3</v>
      </c>
      <c r="F510" s="5">
        <v>-2.2370810993369598E-3</v>
      </c>
    </row>
    <row r="511" spans="1:6">
      <c r="A511" s="7">
        <v>46034</v>
      </c>
      <c r="B511" s="5">
        <v>1.0380612560830799E-2</v>
      </c>
      <c r="C511" s="5">
        <v>0</v>
      </c>
      <c r="D511" s="5">
        <v>4.6875640700963003E-3</v>
      </c>
      <c r="E511" s="5">
        <v>2.67557976806043E-2</v>
      </c>
      <c r="F511" s="5">
        <v>0</v>
      </c>
    </row>
    <row r="512" spans="1:6">
      <c r="A512" s="7">
        <v>46035</v>
      </c>
      <c r="B512" s="5">
        <v>3.4246541787590302E-3</v>
      </c>
      <c r="C512" s="5">
        <v>-4.6655884560019602E-3</v>
      </c>
      <c r="D512" s="5">
        <v>1.0368132078599299E-2</v>
      </c>
      <c r="E512" s="5">
        <v>4.3431840924412803E-3</v>
      </c>
      <c r="F512" s="5">
        <v>8.9686012356282596E-3</v>
      </c>
    </row>
    <row r="513" spans="1:6">
      <c r="A513" s="7">
        <v>46036</v>
      </c>
      <c r="B513" s="5">
        <v>3.4129659506541002E-3</v>
      </c>
      <c r="C513" s="5">
        <v>0</v>
      </c>
      <c r="D513" s="5">
        <v>-2.5654678088577998E-3</v>
      </c>
      <c r="E513" s="5">
        <v>1.51351471145667E-2</v>
      </c>
      <c r="F513" s="5">
        <v>2.22227308485246E-3</v>
      </c>
    </row>
    <row r="514" spans="1:6">
      <c r="A514" s="7">
        <v>46037</v>
      </c>
      <c r="B514" s="5">
        <v>-6.8027144684554798E-3</v>
      </c>
      <c r="C514" s="5">
        <v>-6.2499939464033503E-3</v>
      </c>
      <c r="D514" s="5">
        <v>9.7736234470089407E-3</v>
      </c>
      <c r="E514" s="5">
        <v>1.4909386814253399E-2</v>
      </c>
      <c r="F514" s="5">
        <v>-4.4346910750890896E-3</v>
      </c>
    </row>
    <row r="515" spans="1:6">
      <c r="A515" s="7">
        <v>46038</v>
      </c>
      <c r="B515" s="5">
        <v>0</v>
      </c>
      <c r="C515" s="5">
        <v>-1.57236299872687E-3</v>
      </c>
      <c r="D515" s="5">
        <v>3.9056004323523301E-3</v>
      </c>
      <c r="E515" s="5">
        <v>7.3453334576631902E-3</v>
      </c>
      <c r="F515" s="5">
        <v>0</v>
      </c>
    </row>
    <row r="516" spans="1:6">
      <c r="A516" s="7">
        <v>46041</v>
      </c>
      <c r="B516" s="5">
        <v>1.36986167150361E-2</v>
      </c>
      <c r="C516" s="5">
        <v>3.1496033428162198E-3</v>
      </c>
      <c r="D516" s="5">
        <v>-6.9350803295885602E-3</v>
      </c>
      <c r="E516" s="5">
        <v>4.1665403391915098E-3</v>
      </c>
      <c r="F516" s="5">
        <v>0</v>
      </c>
    </row>
    <row r="517" spans="1:6">
      <c r="A517" s="7">
        <v>46042</v>
      </c>
      <c r="B517" s="5">
        <v>3.3783751129670102E-3</v>
      </c>
      <c r="C517" s="5">
        <v>4.7096091597051996E-3</v>
      </c>
      <c r="D517" s="5">
        <v>-9.8789737174391802E-3</v>
      </c>
      <c r="E517" s="5">
        <v>-1.1410769860088E-2</v>
      </c>
      <c r="F517" s="5">
        <v>1.7817462053742999E-2</v>
      </c>
    </row>
    <row r="518" spans="1:6">
      <c r="A518" s="7">
        <v>46043</v>
      </c>
      <c r="B518" s="5">
        <v>-1.01010003706326E-2</v>
      </c>
      <c r="C518" s="5">
        <v>-1.5625357395032699E-3</v>
      </c>
      <c r="D518" s="5">
        <v>-1.8923109890981399E-3</v>
      </c>
      <c r="E518" s="5">
        <v>4.1972464334414398E-3</v>
      </c>
      <c r="F518" s="5">
        <v>-1.7505557448180501E-2</v>
      </c>
    </row>
    <row r="519" spans="1:6">
      <c r="A519" s="7">
        <v>46044</v>
      </c>
      <c r="B519" s="5">
        <v>2.0408143405366501E-2</v>
      </c>
      <c r="C519" s="5">
        <v>3.12988753433463E-3</v>
      </c>
      <c r="D519" s="5">
        <v>1.0341326667855401E-3</v>
      </c>
      <c r="E519" s="5">
        <v>-1.9853640669403198E-2</v>
      </c>
      <c r="F519" s="5">
        <v>-6.6814553453129503E-3</v>
      </c>
    </row>
    <row r="520" spans="1:6">
      <c r="A520" s="7">
        <v>46045</v>
      </c>
      <c r="B520" s="5">
        <v>1.6666650772094699E-2</v>
      </c>
      <c r="C520" s="5">
        <v>1.56009814662839E-3</v>
      </c>
      <c r="D520" s="5">
        <v>9.8140099142562907E-3</v>
      </c>
      <c r="E520" s="5">
        <v>-2.1321831935348099E-3</v>
      </c>
      <c r="F520" s="5">
        <v>-4.4843006178141298E-3</v>
      </c>
    </row>
    <row r="521" spans="1:6">
      <c r="A521" s="7">
        <v>46048</v>
      </c>
      <c r="B521" s="5">
        <v>0</v>
      </c>
      <c r="C521" s="5">
        <v>3.1152617895386899E-3</v>
      </c>
      <c r="D521" s="5">
        <v>-6.1380793244253402E-3</v>
      </c>
      <c r="E521" s="5">
        <v>4.27347822552004E-3</v>
      </c>
      <c r="F521" s="5">
        <v>4.5045001506225403E-3</v>
      </c>
    </row>
    <row r="522" spans="1:6">
      <c r="A522" s="7">
        <v>46049</v>
      </c>
      <c r="B522" s="5">
        <v>1.6393427245240601E-2</v>
      </c>
      <c r="C522" s="5">
        <v>-9.3167612183899795E-3</v>
      </c>
      <c r="D522" s="5">
        <v>1.68124829037462E-2</v>
      </c>
      <c r="E522" s="5">
        <v>4.2551904528196401E-3</v>
      </c>
      <c r="F522" s="5">
        <v>2.9148007472872099E-2</v>
      </c>
    </row>
    <row r="523" spans="1:6">
      <c r="A523" s="7">
        <v>46050</v>
      </c>
      <c r="B523" s="5">
        <v>-1.2903213897927E-2</v>
      </c>
      <c r="C523" s="5">
        <v>-3.1347931924396999E-3</v>
      </c>
      <c r="D523" s="5">
        <v>4.5554199289858897E-3</v>
      </c>
      <c r="E523" s="5">
        <v>4.2373653947365099E-3</v>
      </c>
      <c r="F523" s="5">
        <v>-6.5359932050187402E-3</v>
      </c>
    </row>
    <row r="524" spans="1:6">
      <c r="A524" s="7">
        <v>46051</v>
      </c>
      <c r="B524" s="5">
        <v>6.5359416014716398E-3</v>
      </c>
      <c r="C524" s="5">
        <v>0</v>
      </c>
      <c r="D524" s="5">
        <v>4.1988294675592303E-3</v>
      </c>
      <c r="E524" s="5">
        <v>1.7932534534309801E-2</v>
      </c>
      <c r="F524" s="5">
        <v>2.1930326770442901E-3</v>
      </c>
    </row>
    <row r="525" spans="1:6">
      <c r="A525" s="7">
        <v>46052</v>
      </c>
      <c r="B525" s="5">
        <v>0</v>
      </c>
      <c r="C525" s="5">
        <v>-1.57236299872687E-3</v>
      </c>
      <c r="D525" s="5">
        <v>-9.8678568114788402E-3</v>
      </c>
      <c r="E525" s="5">
        <v>1.55440975236703E-2</v>
      </c>
      <c r="F525" s="5">
        <v>4.3763632768623103E-3</v>
      </c>
    </row>
    <row r="526" spans="1:6">
      <c r="A526" s="7">
        <v>46055</v>
      </c>
      <c r="B526" s="5">
        <v>0</v>
      </c>
      <c r="C526" s="5">
        <v>1.5748392176415701E-3</v>
      </c>
      <c r="D526" s="5">
        <v>-5.4053953748287604E-3</v>
      </c>
      <c r="E526" s="5">
        <v>0</v>
      </c>
      <c r="F526" s="5">
        <v>1.0893183493581E-2</v>
      </c>
    </row>
    <row r="527" spans="1:6">
      <c r="A527" s="7">
        <v>46056</v>
      </c>
      <c r="B527" s="5">
        <v>9.7402506924975096E-3</v>
      </c>
      <c r="C527" s="5">
        <v>1.8867906138356101E-2</v>
      </c>
      <c r="D527" s="5">
        <v>2.88716873421957E-3</v>
      </c>
      <c r="E527" s="5">
        <v>1.5306078147897801E-2</v>
      </c>
      <c r="F527" s="5">
        <v>4.74138520170777E-2</v>
      </c>
    </row>
    <row r="528" spans="1:6">
      <c r="A528" s="7">
        <v>46057</v>
      </c>
      <c r="B528" s="5">
        <v>0</v>
      </c>
      <c r="C528" s="5">
        <v>1.8518500803374999E-2</v>
      </c>
      <c r="D528" s="5">
        <v>4.7417523295327797E-3</v>
      </c>
      <c r="E528" s="5">
        <v>0</v>
      </c>
      <c r="F528" s="5">
        <v>1.02880066922033E-2</v>
      </c>
    </row>
    <row r="529" spans="1:6">
      <c r="A529" s="7">
        <v>46058</v>
      </c>
      <c r="B529" s="5">
        <v>-9.6462933767546E-3</v>
      </c>
      <c r="C529" s="5">
        <v>1.6666687136949E-2</v>
      </c>
      <c r="D529" s="5">
        <v>5.5621125380998001E-3</v>
      </c>
      <c r="E529" s="5">
        <v>-5.0251436973601802E-3</v>
      </c>
      <c r="F529" s="5">
        <v>-2.6476505426426399E-2</v>
      </c>
    </row>
    <row r="530" spans="1:6">
      <c r="A530" s="7">
        <v>46059</v>
      </c>
      <c r="B530" s="5">
        <v>1.2987000923330201E-2</v>
      </c>
      <c r="C530" s="5">
        <v>-1.49034706780682E-3</v>
      </c>
      <c r="D530" s="5">
        <v>-6.0341663618028703E-3</v>
      </c>
      <c r="E530" s="5">
        <v>-1.9191949480701902E-2</v>
      </c>
      <c r="F530" s="5">
        <v>-1.2552388490189E-2</v>
      </c>
    </row>
    <row r="531" spans="1:6">
      <c r="A531" s="7">
        <v>46062</v>
      </c>
      <c r="B531" s="5">
        <v>1.2820577480386199E-2</v>
      </c>
      <c r="C531" s="5">
        <v>1.4925430495003901E-2</v>
      </c>
      <c r="D531" s="5">
        <v>-1.8718400347851799E-2</v>
      </c>
      <c r="E531" s="5">
        <v>4.1194595672805701E-2</v>
      </c>
      <c r="F531" s="5">
        <v>1.2711953873680799E-2</v>
      </c>
    </row>
    <row r="532" spans="1:6">
      <c r="A532" s="7">
        <v>46063</v>
      </c>
      <c r="B532" s="5">
        <v>3.16455385811421E-3</v>
      </c>
      <c r="C532" s="5">
        <v>0</v>
      </c>
      <c r="D532" s="5">
        <v>-6.7021913463358703E-3</v>
      </c>
      <c r="E532" s="5">
        <v>1.97832318650448E-3</v>
      </c>
      <c r="F532" s="5">
        <v>8.3681924889771296E-3</v>
      </c>
    </row>
    <row r="533" spans="1:6">
      <c r="A533" s="7">
        <v>46064</v>
      </c>
      <c r="B533" s="5">
        <v>-3.4700356740371301E-2</v>
      </c>
      <c r="C533" s="5">
        <v>7.3528988963604798E-3</v>
      </c>
      <c r="D533" s="5">
        <v>-5.1902765398400604E-3</v>
      </c>
      <c r="E533" s="5">
        <v>-2.9614348144039199E-3</v>
      </c>
      <c r="F533" s="5">
        <v>3.31949879074298E-2</v>
      </c>
    </row>
    <row r="534" spans="1:6">
      <c r="A534" s="7">
        <v>46065</v>
      </c>
      <c r="B534" s="5">
        <v>9.8039124022075708E-3</v>
      </c>
      <c r="C534" s="5">
        <v>7.2992980191208803E-3</v>
      </c>
      <c r="D534" s="5">
        <v>4.8695050300910899E-3</v>
      </c>
      <c r="E534" s="5">
        <v>8.9107886191059898E-3</v>
      </c>
      <c r="F534" s="5">
        <v>4.0160604116292698E-3</v>
      </c>
    </row>
    <row r="535" spans="1:6">
      <c r="A535" s="7">
        <v>46066</v>
      </c>
      <c r="B535" s="5">
        <v>9.7087288747823592E-3</v>
      </c>
      <c r="C535" s="5">
        <v>8.6956437609071492E-3</v>
      </c>
      <c r="D535" s="5">
        <v>-1.2461002922170899E-2</v>
      </c>
      <c r="E535" s="5">
        <v>-1.7664365292560699E-2</v>
      </c>
      <c r="F535" s="5">
        <v>-1.8000030517578099E-2</v>
      </c>
    </row>
    <row r="536" spans="1:6">
      <c r="A536" s="7">
        <v>46069</v>
      </c>
      <c r="B536" s="5">
        <v>0</v>
      </c>
      <c r="C536" s="5">
        <v>5.7471209243953299E-3</v>
      </c>
      <c r="D536" s="5">
        <v>-2.97932740085283E-3</v>
      </c>
      <c r="E536" s="5">
        <v>4.9951197383593096E-3</v>
      </c>
      <c r="F536" s="5">
        <v>-1.42565574337264E-2</v>
      </c>
    </row>
    <row r="537" spans="1:6">
      <c r="A537" s="7">
        <v>46072</v>
      </c>
      <c r="B537" s="5">
        <v>9.6154522143432307E-3</v>
      </c>
      <c r="C537" s="5">
        <v>-2.8571401323590501E-3</v>
      </c>
      <c r="D537" s="5">
        <v>1.2831735461135399E-2</v>
      </c>
      <c r="E537" s="5">
        <v>1.5904474724309801E-2</v>
      </c>
      <c r="F537" s="5">
        <v>2.8925591337169501E-2</v>
      </c>
    </row>
    <row r="538" spans="1:6">
      <c r="A538" s="7">
        <v>46073</v>
      </c>
      <c r="B538" s="5">
        <v>-1.26984758922494E-2</v>
      </c>
      <c r="C538" s="5">
        <v>-1.14613070898922E-2</v>
      </c>
      <c r="D538" s="5">
        <v>6.4214337677250804E-3</v>
      </c>
      <c r="E538" s="5">
        <v>-3.9138706246534304E-3</v>
      </c>
      <c r="F538" s="5">
        <v>1.2048181234887601E-2</v>
      </c>
    </row>
    <row r="539" spans="1:6">
      <c r="A539" s="7">
        <v>46076</v>
      </c>
      <c r="B539" s="5">
        <v>3.2154311255849798E-3</v>
      </c>
      <c r="C539" s="5">
        <v>8.6956437609071492E-3</v>
      </c>
      <c r="D539" s="5">
        <v>2.7590912974995198E-3</v>
      </c>
      <c r="E539" s="5">
        <v>2.5540214772232998E-2</v>
      </c>
      <c r="F539" s="5">
        <v>-3.9682502138671501E-3</v>
      </c>
    </row>
    <row r="540" spans="1:6">
      <c r="A540" s="7">
        <v>46077</v>
      </c>
      <c r="B540" s="5">
        <v>-3.2051252660430002E-3</v>
      </c>
      <c r="C540" s="5">
        <v>1.0057495873234699E-2</v>
      </c>
      <c r="D540" s="5">
        <v>-4.9870551795070401E-3</v>
      </c>
      <c r="E540" s="5">
        <v>-1.9157065410739402E-2</v>
      </c>
      <c r="F540" s="5">
        <v>1.9920299803290398E-2</v>
      </c>
    </row>
    <row r="541" spans="1:6">
      <c r="A541" s="7">
        <v>46078</v>
      </c>
      <c r="B541" s="5">
        <v>-3.2154311255848701E-3</v>
      </c>
      <c r="C541" s="5">
        <v>1.9914631907160599E-2</v>
      </c>
      <c r="D541" s="5">
        <v>-2.9382014811095698E-3</v>
      </c>
      <c r="E541" s="5">
        <v>-9.766038134952919E-4</v>
      </c>
      <c r="F541" s="5">
        <v>-7.81249272404228E-3</v>
      </c>
    </row>
    <row r="542" spans="1:6">
      <c r="A542" s="7">
        <v>46079</v>
      </c>
      <c r="B542" s="5">
        <v>-1.2903213897927E-2</v>
      </c>
      <c r="C542" s="5">
        <v>-5.5787951781588498E-3</v>
      </c>
      <c r="D542" s="5">
        <v>-9.1870132233632402E-3</v>
      </c>
      <c r="E542" s="5">
        <v>-2.0527783286377398E-2</v>
      </c>
      <c r="F542" s="5">
        <v>-1.5748016714081301E-2</v>
      </c>
    </row>
    <row r="543" spans="1:6">
      <c r="A543" s="7">
        <v>46080</v>
      </c>
      <c r="B543" s="5">
        <v>0</v>
      </c>
      <c r="C543" s="5">
        <v>7.0125824817921503E-3</v>
      </c>
      <c r="D543" s="5">
        <v>-6.9977161843004499E-4</v>
      </c>
      <c r="E543" s="5">
        <v>-4.9899413698536498E-3</v>
      </c>
      <c r="F543" s="5">
        <v>7.9999923706055593E-3</v>
      </c>
    </row>
    <row r="544" spans="1:6">
      <c r="A544" s="7">
        <v>46083</v>
      </c>
      <c r="B544" s="5">
        <v>-1.63398540036791E-2</v>
      </c>
      <c r="C544" s="5">
        <v>-4.7353716417762801E-2</v>
      </c>
      <c r="D544" s="5">
        <v>-2.6085450190962998E-2</v>
      </c>
      <c r="E544" s="5">
        <v>2.8084079794470598E-2</v>
      </c>
      <c r="F544" s="5">
        <v>-2.5793673695410399E-2</v>
      </c>
    </row>
    <row r="545" spans="1:6">
      <c r="A545" s="7">
        <v>46084</v>
      </c>
      <c r="B545" s="5">
        <v>-6.6445119567709598E-3</v>
      </c>
      <c r="C545" s="5">
        <v>-8.7719212633117199E-3</v>
      </c>
      <c r="D545" s="5">
        <v>-5.3931604823165302E-4</v>
      </c>
      <c r="E545" s="5">
        <v>7.2195161159313501E-2</v>
      </c>
      <c r="F545" s="5">
        <v>1.8329970546807E-2</v>
      </c>
    </row>
    <row r="546" spans="1:6">
      <c r="A546" s="7">
        <v>46085</v>
      </c>
      <c r="B546" s="5">
        <v>-4.0133820600306097E-2</v>
      </c>
      <c r="C546" s="5">
        <v>-2.0649017550209099E-2</v>
      </c>
      <c r="D546" s="5">
        <v>-1.07912945651258E-2</v>
      </c>
      <c r="E546" s="5">
        <v>-5.5504977969494503E-2</v>
      </c>
      <c r="F546" s="5">
        <v>-1.99999809265137E-2</v>
      </c>
    </row>
    <row r="547" spans="1:6">
      <c r="A547" s="7">
        <v>46086</v>
      </c>
      <c r="B547" s="5">
        <v>6.9687178197210802E-3</v>
      </c>
      <c r="C547" s="5">
        <v>6.0240907616462298E-3</v>
      </c>
      <c r="D547" s="5">
        <v>2.1817605955560802E-3</v>
      </c>
      <c r="E547" s="5">
        <v>4.4316003421477998E-2</v>
      </c>
      <c r="F547" s="5">
        <v>1.2244886043219799E-2</v>
      </c>
    </row>
    <row r="548" spans="1:6">
      <c r="A548" s="7">
        <v>46087</v>
      </c>
      <c r="B548" s="5">
        <v>0</v>
      </c>
      <c r="C548" s="5">
        <v>-4.4909781051075699E-3</v>
      </c>
      <c r="D548" s="5">
        <v>-2.17701087900413E-3</v>
      </c>
      <c r="E548" s="5">
        <v>1.0147584523954501E-2</v>
      </c>
      <c r="F548" s="5">
        <v>8.0645083760868506E-3</v>
      </c>
    </row>
    <row r="549" spans="1:6">
      <c r="A549" s="7">
        <v>46090</v>
      </c>
      <c r="B549" s="5">
        <v>-2.42215118063803E-2</v>
      </c>
      <c r="C549" s="5">
        <v>-2.4060198790181699E-2</v>
      </c>
      <c r="D549" s="5">
        <v>-1.2545426595365601E-2</v>
      </c>
      <c r="E549" s="5">
        <v>-2.00913792824822E-2</v>
      </c>
      <c r="F549" s="5">
        <v>-1.0000038146972701E-2</v>
      </c>
    </row>
    <row r="550" spans="1:6">
      <c r="A550" s="7">
        <v>46091</v>
      </c>
      <c r="B550" s="5">
        <v>1.06382879787066E-2</v>
      </c>
      <c r="C550" s="5">
        <v>2.4653363619718802E-2</v>
      </c>
      <c r="D550" s="5">
        <v>2.46731346586164E-2</v>
      </c>
      <c r="E550" s="5">
        <v>1.8640118466226601E-3</v>
      </c>
      <c r="F550" s="5">
        <v>1.41414493653826E-2</v>
      </c>
    </row>
    <row r="551" spans="1:6">
      <c r="A551" s="7">
        <v>46092</v>
      </c>
      <c r="B551" s="5">
        <v>-3.5087687010102501E-3</v>
      </c>
      <c r="C551" s="5">
        <v>3.0075158856683899E-3</v>
      </c>
      <c r="D551" s="5">
        <v>1.25781082119159E-3</v>
      </c>
      <c r="E551" s="5">
        <v>3.1627894843836199E-2</v>
      </c>
      <c r="F551" s="5">
        <v>-5.9761374347281401E-3</v>
      </c>
    </row>
    <row r="552" spans="1:6">
      <c r="A552" s="7">
        <v>46093</v>
      </c>
      <c r="B552" s="5">
        <v>7.0422470179416496E-3</v>
      </c>
      <c r="C552" s="5">
        <v>0</v>
      </c>
      <c r="D552" s="5">
        <v>-6.2813648407067397E-3</v>
      </c>
      <c r="E552" s="5">
        <v>5.4102467452328299E-3</v>
      </c>
      <c r="F552" s="5">
        <v>0</v>
      </c>
    </row>
    <row r="553" spans="1:6">
      <c r="A553" s="7">
        <v>46094</v>
      </c>
      <c r="B553" s="5">
        <v>-1.04895008706863E-2</v>
      </c>
      <c r="C553" s="5">
        <v>-1.94902718071857E-2</v>
      </c>
      <c r="D553" s="5">
        <v>-1.0836261348827799E-3</v>
      </c>
      <c r="E553" s="5">
        <v>-2.4215144045855501E-2</v>
      </c>
      <c r="F553" s="5">
        <v>-6.0119708110666402E-3</v>
      </c>
    </row>
    <row r="554" spans="1:6">
      <c r="A554" s="7">
        <v>46097</v>
      </c>
      <c r="B554" s="5">
        <v>-3.5335656299810801E-3</v>
      </c>
      <c r="C554" s="5">
        <v>0</v>
      </c>
      <c r="D554" s="5">
        <v>1.21135593609878E-2</v>
      </c>
      <c r="E554" s="5">
        <v>1.19485005760502E-2</v>
      </c>
      <c r="F554" s="5">
        <v>1.6129016752173701E-2</v>
      </c>
    </row>
    <row r="555" spans="1:6">
      <c r="A555" s="7">
        <v>46098</v>
      </c>
      <c r="B555" s="5">
        <v>1.06382879787066E-2</v>
      </c>
      <c r="C555" s="5">
        <v>7.6452891477840597E-3</v>
      </c>
      <c r="D555" s="5">
        <v>1.96498820915962E-2</v>
      </c>
      <c r="E555" s="5">
        <v>-2.7248229216407802E-3</v>
      </c>
      <c r="F555" s="5">
        <v>2.57936736954105E-2</v>
      </c>
    </row>
    <row r="556" spans="1:6">
      <c r="A556" s="7">
        <v>46099</v>
      </c>
      <c r="B556" s="5">
        <v>1.0526389758675101E-2</v>
      </c>
      <c r="C556" s="5">
        <v>1.5174492005633601E-2</v>
      </c>
      <c r="D556" s="5">
        <v>1.1913064917574E-2</v>
      </c>
      <c r="E556" s="5">
        <v>1.54826457617572E-2</v>
      </c>
      <c r="F556" s="5">
        <v>-7.7369364144576104E-3</v>
      </c>
    </row>
    <row r="557" spans="1:6">
      <c r="A557" s="7">
        <v>46100</v>
      </c>
      <c r="B557" s="5">
        <v>-2.4305614194382E-2</v>
      </c>
      <c r="C557" s="5">
        <v>-1.4947668726047201E-2</v>
      </c>
      <c r="D557" s="5">
        <v>-5.0207282069897304E-3</v>
      </c>
      <c r="E557" s="5">
        <v>-8.9681221891690899E-4</v>
      </c>
      <c r="F557" s="5">
        <v>3.89863167258309E-3</v>
      </c>
    </row>
    <row r="558" spans="1:6">
      <c r="A558" s="7">
        <v>46101</v>
      </c>
      <c r="B558" s="5">
        <v>-1.06761466194536E-2</v>
      </c>
      <c r="C558" s="5">
        <v>1.51741302172059E-3</v>
      </c>
      <c r="D558" s="5">
        <v>-1.21804583858343E-3</v>
      </c>
      <c r="E558" s="5">
        <v>-1.7953385881395299E-2</v>
      </c>
      <c r="F558" s="5">
        <v>1.1650474110381601E-2</v>
      </c>
    </row>
    <row r="559" spans="1:6">
      <c r="A559" s="7">
        <v>46104</v>
      </c>
      <c r="B559" s="5">
        <v>-1.7985594543473499E-2</v>
      </c>
      <c r="C559" s="5">
        <v>-1.6666687136949E-2</v>
      </c>
      <c r="D559" s="5">
        <v>-1.7073232915096E-2</v>
      </c>
      <c r="E559" s="5">
        <v>-1.8281514157785599E-2</v>
      </c>
      <c r="F559" s="5">
        <v>-5.3742842180081199E-2</v>
      </c>
    </row>
    <row r="560" spans="1:6">
      <c r="A560" s="7">
        <v>46105</v>
      </c>
      <c r="B560" s="5">
        <v>-3.6630001440991502E-3</v>
      </c>
      <c r="C560" s="5">
        <v>3.08173474098994E-3</v>
      </c>
      <c r="D560" s="5">
        <v>3.72214286280537E-3</v>
      </c>
      <c r="E560" s="5">
        <v>2.7934142912682302E-3</v>
      </c>
      <c r="F560" s="5">
        <v>-2.02834734135227E-3</v>
      </c>
    </row>
    <row r="561" spans="1:6">
      <c r="A561" s="7">
        <v>46106</v>
      </c>
      <c r="B561" s="5">
        <v>3.67646704340885E-3</v>
      </c>
      <c r="C561" s="5">
        <v>1.6897028081386E-2</v>
      </c>
      <c r="D561" s="5">
        <v>9.7121703051250598E-3</v>
      </c>
      <c r="E561" s="5">
        <v>2.0426986718458801E-2</v>
      </c>
      <c r="F561" s="5">
        <v>1.0162543317553801E-2</v>
      </c>
    </row>
    <row r="562" spans="1:6">
      <c r="A562" s="7">
        <v>46107</v>
      </c>
      <c r="B562" s="5">
        <v>-1.8315000720495699E-2</v>
      </c>
      <c r="C562" s="5">
        <v>-4.5316817960424603E-3</v>
      </c>
      <c r="D562" s="5">
        <v>-1.0493245672110699E-3</v>
      </c>
      <c r="E562" s="5">
        <v>-5.4594757393441303E-3</v>
      </c>
      <c r="F562" s="5">
        <v>-4.02414120137062E-3</v>
      </c>
    </row>
    <row r="563" spans="1:6">
      <c r="A563" s="7">
        <v>46108</v>
      </c>
      <c r="B563" s="5">
        <v>1.11940188964512E-2</v>
      </c>
      <c r="C563" s="5">
        <v>1.0622108225100801E-2</v>
      </c>
      <c r="D563" s="5">
        <v>5.2524774631823601E-4</v>
      </c>
      <c r="E563" s="5">
        <v>4.57458192843729E-3</v>
      </c>
      <c r="F563" s="5">
        <v>8.0808006857206998E-3</v>
      </c>
    </row>
    <row r="564" spans="1:6">
      <c r="A564" s="7">
        <v>46111</v>
      </c>
      <c r="B564" s="5">
        <v>0</v>
      </c>
      <c r="C564" s="5">
        <v>-9.0090006237545407E-3</v>
      </c>
      <c r="D564" s="5">
        <v>-3.1496260835914801E-3</v>
      </c>
      <c r="E564" s="5">
        <v>-9.1069724481718196E-4</v>
      </c>
      <c r="F564" s="5">
        <v>4.0081079521152602E-3</v>
      </c>
    </row>
    <row r="565" spans="1:6">
      <c r="A565" s="7">
        <v>46112</v>
      </c>
      <c r="B565" s="5">
        <v>3.69003332933326E-3</v>
      </c>
      <c r="C565" s="5">
        <v>0</v>
      </c>
      <c r="D565" s="5">
        <v>-1.2286672214642E-3</v>
      </c>
      <c r="E565" s="5">
        <v>-1.45852312468515E-2</v>
      </c>
      <c r="F565" s="5">
        <v>-1.39720895136566E-2</v>
      </c>
    </row>
    <row r="566" spans="1:6">
      <c r="A566" s="7">
        <v>46113</v>
      </c>
      <c r="B566" s="5">
        <v>1.1029401130226799E-2</v>
      </c>
      <c r="C566" s="5">
        <v>9.0909005525026104E-3</v>
      </c>
      <c r="D566" s="5">
        <v>1.15992316227016E-2</v>
      </c>
      <c r="E566" s="5">
        <v>2.6826981822540601E-2</v>
      </c>
      <c r="F566" s="5">
        <v>1.82186541589902E-2</v>
      </c>
    </row>
    <row r="567" spans="1:6">
      <c r="A567" s="7">
        <v>46114</v>
      </c>
      <c r="B567" s="5">
        <v>-3.6363601684570299E-3</v>
      </c>
      <c r="C567" s="5">
        <v>-1.5014643053727901E-3</v>
      </c>
      <c r="D567" s="5">
        <v>-1.7374421579674501E-4</v>
      </c>
      <c r="E567" s="5">
        <v>-6.30639852218828E-3</v>
      </c>
      <c r="F567" s="5">
        <v>-7.9523731653501403E-3</v>
      </c>
    </row>
    <row r="568" spans="1:6">
      <c r="A568" s="7">
        <v>46118</v>
      </c>
      <c r="B568" s="5">
        <v>1.4598526172921599E-2</v>
      </c>
      <c r="C568" s="5">
        <v>-4.5113096809199496E-3</v>
      </c>
      <c r="D568" s="5">
        <v>1.3900589176369901E-3</v>
      </c>
      <c r="E568" s="5">
        <v>1.5412550278374799E-2</v>
      </c>
      <c r="F568" s="5">
        <v>8.0161203456772297E-3</v>
      </c>
    </row>
    <row r="569" spans="1:6">
      <c r="A569" s="7">
        <v>46119</v>
      </c>
      <c r="B569" s="5">
        <v>-7.1942378173893698E-3</v>
      </c>
      <c r="C569" s="5">
        <v>-6.0422904145789299E-3</v>
      </c>
      <c r="D569" s="5">
        <v>-2.7762586721491499E-3</v>
      </c>
      <c r="E569" s="5">
        <v>2.0535719681762599E-2</v>
      </c>
      <c r="F569" s="5">
        <v>-1.3916534541068001E-2</v>
      </c>
    </row>
    <row r="570" spans="1:6">
      <c r="A570" s="7">
        <v>46120</v>
      </c>
      <c r="B570" s="5">
        <v>1.8115924814873698E-2</v>
      </c>
      <c r="C570" s="5">
        <v>2.5835878155785301E-2</v>
      </c>
      <c r="D570" s="5">
        <v>1.12953578199095E-2</v>
      </c>
      <c r="E570" s="5">
        <v>3.4996259857740198E-3</v>
      </c>
      <c r="F570" s="5">
        <v>0</v>
      </c>
    </row>
    <row r="571" spans="1:6">
      <c r="A571" s="7">
        <v>46121</v>
      </c>
      <c r="B571" s="5">
        <v>-7.11743107963569E-3</v>
      </c>
      <c r="C571" s="5">
        <v>-1.33333559389468E-2</v>
      </c>
      <c r="D571" s="5">
        <v>-1.74516394091118E-3</v>
      </c>
      <c r="E571" s="5">
        <v>-1.74375280997197E-3</v>
      </c>
      <c r="F571" s="5">
        <v>0</v>
      </c>
    </row>
    <row r="572" spans="1:6">
      <c r="A572" s="7">
        <v>46122</v>
      </c>
      <c r="B572" s="5">
        <v>1.07526780644991E-2</v>
      </c>
      <c r="C572" s="5">
        <v>-3.00300020791822E-3</v>
      </c>
      <c r="D572" s="5">
        <v>2.6223222936752099E-3</v>
      </c>
      <c r="E572" s="5">
        <v>-3.49342868717562E-3</v>
      </c>
      <c r="F572" s="5">
        <v>-1.6129016752173701E-2</v>
      </c>
    </row>
    <row r="573" spans="1:6">
      <c r="A573" s="7">
        <v>46125</v>
      </c>
      <c r="B573" s="5">
        <v>0</v>
      </c>
      <c r="C573" s="5">
        <v>-9.0361361424692293E-3</v>
      </c>
      <c r="D573" s="5">
        <v>2.9643001142418699E-3</v>
      </c>
      <c r="E573" s="5">
        <v>-7.8878122816951092E-3</v>
      </c>
      <c r="F573" s="5">
        <v>-2.04922718182798E-3</v>
      </c>
    </row>
    <row r="574" spans="1:6">
      <c r="A574" s="7">
        <v>46126</v>
      </c>
      <c r="B574" s="5">
        <v>7.0921919858044601E-3</v>
      </c>
      <c r="C574" s="5">
        <v>3.0395108143479498E-3</v>
      </c>
      <c r="D574" s="5">
        <v>1.39081815237585E-3</v>
      </c>
      <c r="E574" s="5">
        <v>-8.8338686843689694E-3</v>
      </c>
      <c r="F574" s="5">
        <v>-4.1067723606769101E-3</v>
      </c>
    </row>
    <row r="575" spans="1:6">
      <c r="A575" s="7">
        <v>46127</v>
      </c>
      <c r="B575" s="5">
        <v>7.0422470179416496E-3</v>
      </c>
      <c r="C575" s="5">
        <v>-4.5454141522236497E-3</v>
      </c>
      <c r="D575" s="5">
        <v>1.73614165701763E-3</v>
      </c>
      <c r="E575" s="5">
        <v>3.5649543911637801E-3</v>
      </c>
      <c r="F575" s="5">
        <v>1.4433025368622201E-2</v>
      </c>
    </row>
    <row r="576" spans="1:6">
      <c r="A576" s="7">
        <v>46128</v>
      </c>
      <c r="B576" s="5">
        <v>6.9930839436000997E-3</v>
      </c>
      <c r="C576" s="5">
        <v>4.5661692827025898E-3</v>
      </c>
      <c r="D576" s="5">
        <v>-6.9324637346358502E-3</v>
      </c>
      <c r="E576" s="5">
        <v>5.32865064739463E-3</v>
      </c>
      <c r="F576" s="5">
        <v>-1.8292713656964901E-2</v>
      </c>
    </row>
    <row r="577" spans="1:6">
      <c r="A577" s="7">
        <v>46129</v>
      </c>
      <c r="B577" s="5">
        <v>-1.0416739102864E-2</v>
      </c>
      <c r="C577" s="5">
        <v>-7.5757143363911501E-3</v>
      </c>
      <c r="D577" s="5">
        <v>-8.7258197045558795E-4</v>
      </c>
      <c r="E577" s="5">
        <v>-4.4168916314139004E-3</v>
      </c>
      <c r="F577" s="5">
        <v>-4.1407828659275597E-3</v>
      </c>
    </row>
    <row r="578" spans="1:6">
      <c r="A578" s="7">
        <v>46132</v>
      </c>
      <c r="B578" s="5">
        <v>3.5087687010102501E-3</v>
      </c>
      <c r="C578" s="5">
        <v>-1.5267524565848499E-3</v>
      </c>
      <c r="D578" s="5">
        <v>-1.7465529396076799E-4</v>
      </c>
      <c r="E578" s="5">
        <v>1.0647757835260001E-2</v>
      </c>
      <c r="F578" s="5">
        <v>6.2370499304025299E-3</v>
      </c>
    </row>
    <row r="579" spans="1:6">
      <c r="A579" s="7">
        <v>46133</v>
      </c>
      <c r="B579" s="5">
        <v>3.49650029022874E-3</v>
      </c>
      <c r="C579" s="5">
        <v>-1.5290140830282999E-3</v>
      </c>
      <c r="D579" s="5">
        <v>4.1928647505469199E-3</v>
      </c>
      <c r="E579" s="5">
        <v>1.75583054681616E-3</v>
      </c>
      <c r="F579" s="5">
        <v>4.1322273338812998E-3</v>
      </c>
    </row>
    <row r="580" spans="1:6">
      <c r="A580" s="7">
        <v>46134</v>
      </c>
      <c r="B580" s="5">
        <v>1.0453035193241899E-2</v>
      </c>
      <c r="C580" s="5">
        <v>-9.1884253734901798E-3</v>
      </c>
      <c r="D580" s="5">
        <v>-4.8712510455050104E-3</v>
      </c>
      <c r="E580" s="5">
        <v>-1.4022786806097001E-2</v>
      </c>
      <c r="F580" s="5">
        <v>-1.6460889199236401E-2</v>
      </c>
    </row>
    <row r="581" spans="1:6">
      <c r="A581" s="7">
        <v>46135</v>
      </c>
      <c r="B581" s="5">
        <v>-1.7241444513996899E-2</v>
      </c>
      <c r="C581" s="5">
        <v>-1.2364749041774601E-2</v>
      </c>
      <c r="D581" s="5">
        <v>-3.4964973488699198E-3</v>
      </c>
      <c r="E581" s="5">
        <v>-1.9555608961052798E-2</v>
      </c>
      <c r="F581" s="5">
        <v>-1.8828482978560199E-2</v>
      </c>
    </row>
    <row r="582" spans="1:6">
      <c r="A582" s="7">
        <v>46136</v>
      </c>
      <c r="B582" s="5">
        <v>0</v>
      </c>
      <c r="C582" s="5">
        <v>0</v>
      </c>
      <c r="D582" s="5">
        <v>-1.7543489388638399E-3</v>
      </c>
      <c r="E582" s="5">
        <v>-9.0648136808202395E-4</v>
      </c>
      <c r="F582" s="5">
        <v>-1.2793164615673799E-2</v>
      </c>
    </row>
    <row r="583" spans="1:6">
      <c r="A583" s="7">
        <v>46139</v>
      </c>
      <c r="B583" s="5">
        <v>-7.0175374020203796E-3</v>
      </c>
      <c r="C583" s="5">
        <v>-3.1298875343347401E-3</v>
      </c>
      <c r="D583" s="5">
        <v>-1.93322968118703E-3</v>
      </c>
      <c r="E583" s="5">
        <v>-2.4500976316825601E-2</v>
      </c>
      <c r="F583" s="5">
        <v>-4.3196502013323999E-3</v>
      </c>
    </row>
    <row r="584" spans="1:6">
      <c r="A584" s="7">
        <v>46140</v>
      </c>
      <c r="B584" s="5">
        <v>-7.0671312599621698E-3</v>
      </c>
      <c r="C584" s="5">
        <v>-1.56981981543636E-3</v>
      </c>
      <c r="D584" s="5">
        <v>-7.0441621012773403E-4</v>
      </c>
      <c r="E584" s="5">
        <v>-9.3980667759274695E-4</v>
      </c>
      <c r="F584" s="5">
        <v>-2.16924698312582E-3</v>
      </c>
    </row>
    <row r="585" spans="1:6">
      <c r="A585" s="7">
        <v>46141</v>
      </c>
      <c r="B585" s="5">
        <v>-3.5587155398179001E-3</v>
      </c>
      <c r="C585" s="5">
        <v>-7.8616650448455304E-3</v>
      </c>
      <c r="D585" s="5">
        <v>-3.3479607389083101E-3</v>
      </c>
      <c r="E585" s="5">
        <v>1.8813814900728899E-3</v>
      </c>
      <c r="F585" s="5">
        <v>-1.5217325277273E-2</v>
      </c>
    </row>
    <row r="586" spans="1:6">
      <c r="A586" s="7">
        <v>46142</v>
      </c>
      <c r="B586" s="5">
        <v>-7.1428504525397098E-3</v>
      </c>
      <c r="C586" s="5">
        <v>-3.16956911376831E-3</v>
      </c>
      <c r="D586" s="5">
        <v>3.42998317626622E-2</v>
      </c>
      <c r="E586" s="5">
        <v>6.5728293577032E-3</v>
      </c>
      <c r="F586" s="5">
        <v>1.32450198676877E-2</v>
      </c>
    </row>
    <row r="587" spans="1:6">
      <c r="A587" s="7">
        <v>46146</v>
      </c>
      <c r="B587" s="5">
        <v>-4.6762545813030999E-2</v>
      </c>
      <c r="C587" s="5">
        <v>-3.1796472254066498E-3</v>
      </c>
      <c r="D587" s="5">
        <v>1.7093656535596101E-3</v>
      </c>
      <c r="E587" s="5">
        <v>9.3279317989614096E-4</v>
      </c>
      <c r="F587" s="5">
        <v>1.7429176698599901E-2</v>
      </c>
    </row>
    <row r="588" spans="1:6">
      <c r="A588" s="7">
        <v>46147</v>
      </c>
      <c r="B588" s="5">
        <v>-3.7735811710868398E-3</v>
      </c>
      <c r="C588" s="5">
        <v>-1.59485679028659E-3</v>
      </c>
      <c r="D588" s="5">
        <v>-8.5322435437362699E-4</v>
      </c>
      <c r="E588" s="5">
        <v>5.5918109150694404E-3</v>
      </c>
      <c r="F588" s="5">
        <v>2.1412744927862301E-3</v>
      </c>
    </row>
    <row r="589" spans="1:6">
      <c r="A589" s="7">
        <v>46148</v>
      </c>
      <c r="B589" s="5">
        <v>3.7878750249593601E-3</v>
      </c>
      <c r="C589" s="5">
        <v>4.79228943679289E-3</v>
      </c>
      <c r="D589" s="5">
        <v>5.1238499365613404E-3</v>
      </c>
      <c r="E589" s="5">
        <v>1.2048263303928299E-2</v>
      </c>
      <c r="F589" s="5">
        <v>-1.9230700652115601E-2</v>
      </c>
    </row>
    <row r="590" spans="1:6">
      <c r="A590" s="7">
        <v>46149</v>
      </c>
      <c r="B590" s="5">
        <v>1.13207435132605E-2</v>
      </c>
      <c r="C590" s="5">
        <v>6.3592944508132901E-3</v>
      </c>
      <c r="D590" s="5">
        <v>1.6990680365336401E-4</v>
      </c>
      <c r="E590" s="5">
        <v>-1.6483551156038799E-2</v>
      </c>
      <c r="F590" s="5">
        <v>1.0893183493581E-2</v>
      </c>
    </row>
    <row r="591" spans="1:6">
      <c r="A591" s="7">
        <v>46150</v>
      </c>
      <c r="B591" s="5">
        <v>-1.49253585286016E-2</v>
      </c>
      <c r="C591" s="5">
        <v>-3.1595546868197202E-3</v>
      </c>
      <c r="D591" s="5">
        <v>-3.0580657914590602E-3</v>
      </c>
      <c r="E591" s="5">
        <v>-7.4488055025702096E-3</v>
      </c>
      <c r="F591" s="5">
        <v>1.077590348569E-2</v>
      </c>
    </row>
    <row r="592" spans="1:6">
      <c r="A592" s="7">
        <v>46153</v>
      </c>
      <c r="B592" s="5">
        <v>0</v>
      </c>
      <c r="C592" s="5">
        <v>-7.9238850001764893E-3</v>
      </c>
      <c r="D592" s="5">
        <v>1.5552059244282599E-2</v>
      </c>
      <c r="E592" s="5">
        <v>-2.8142200848494401E-3</v>
      </c>
      <c r="F592" s="5">
        <v>1.2793164615673799E-2</v>
      </c>
    </row>
    <row r="593" spans="1:6">
      <c r="A593" s="7">
        <v>46154</v>
      </c>
      <c r="B593" s="5">
        <v>-7.57584035998316E-3</v>
      </c>
      <c r="C593" s="5">
        <v>6.3897700304353898E-3</v>
      </c>
      <c r="D593" s="5">
        <v>5.6150759534974197E-3</v>
      </c>
      <c r="E593" s="5">
        <v>9.4069074503644302E-4</v>
      </c>
      <c r="F593" s="5">
        <v>-6.3158336438631198E-3</v>
      </c>
    </row>
    <row r="594" spans="1:6">
      <c r="A594" s="7">
        <v>46155</v>
      </c>
      <c r="B594" s="5">
        <v>3.81688141932957E-3</v>
      </c>
      <c r="C594" s="5">
        <v>-3.1746000509534902E-3</v>
      </c>
      <c r="D594" s="5">
        <v>1.35364310052921E-2</v>
      </c>
      <c r="E594" s="5">
        <v>1.3157833191510799E-2</v>
      </c>
      <c r="F594" s="5">
        <v>2.1186522439584E-2</v>
      </c>
    </row>
    <row r="595" spans="1:6">
      <c r="A595" s="7">
        <v>46156</v>
      </c>
      <c r="B595" s="5">
        <v>0</v>
      </c>
      <c r="C595" s="5">
        <v>-1.5923930808501301E-3</v>
      </c>
      <c r="D595" s="5">
        <v>3.8397251482031902E-3</v>
      </c>
      <c r="E595" s="5">
        <v>-2.41186143722469E-2</v>
      </c>
      <c r="F595" s="5">
        <v>1.0373384256638E-2</v>
      </c>
    </row>
    <row r="596" spans="1:6">
      <c r="A596" s="7">
        <v>46157</v>
      </c>
      <c r="B596" s="5">
        <v>-7.6046458079126501E-3</v>
      </c>
      <c r="C596" s="5">
        <v>2.39234602589691E-2</v>
      </c>
      <c r="D596" s="5">
        <v>1.1641392579542201E-3</v>
      </c>
      <c r="E596" s="5">
        <v>-1.42586304571254E-2</v>
      </c>
      <c r="F596" s="5">
        <v>-1.02668819451039E-2</v>
      </c>
    </row>
    <row r="597" spans="1:6">
      <c r="A597" s="7">
        <v>46160</v>
      </c>
      <c r="B597" s="5">
        <v>-3.8314141245931999E-3</v>
      </c>
      <c r="C597" s="5">
        <v>-1.5576680316191601E-3</v>
      </c>
      <c r="D597" s="5">
        <v>9.3022849085826493E-3</v>
      </c>
      <c r="E597" s="5">
        <v>4.0501442030236798E-2</v>
      </c>
      <c r="F597" s="5">
        <v>1.0373384256638E-2</v>
      </c>
    </row>
    <row r="598" spans="1:6">
      <c r="A598" s="7">
        <v>46161</v>
      </c>
      <c r="B598" s="5">
        <v>3.0769294253470102E-2</v>
      </c>
      <c r="C598" s="5">
        <v>2.0280829568724901E-2</v>
      </c>
      <c r="D598" s="5">
        <v>2.0408191453608698E-2</v>
      </c>
      <c r="E598" s="5">
        <v>2.1316124037567399E-2</v>
      </c>
      <c r="F598" s="5">
        <v>2.25872969403111E-2</v>
      </c>
    </row>
    <row r="599" spans="1:6">
      <c r="A599" s="7">
        <v>46162</v>
      </c>
      <c r="B599" s="5">
        <v>-1.11940188964512E-2</v>
      </c>
      <c r="C599" s="5">
        <v>-6.1162021538748697E-3</v>
      </c>
      <c r="D599" s="5">
        <v>-1.1290334886120201E-2</v>
      </c>
      <c r="E599" s="5">
        <v>3.6297716311381998E-3</v>
      </c>
      <c r="F599" s="5">
        <v>8.0321208232583298E-3</v>
      </c>
    </row>
    <row r="600" spans="1:6">
      <c r="A600" s="7">
        <v>46163</v>
      </c>
      <c r="B600" s="5">
        <v>-3.7735811710868398E-3</v>
      </c>
      <c r="C600" s="5">
        <v>9.2307604276216093E-3</v>
      </c>
      <c r="D600" s="5">
        <v>7.3409587037547297E-3</v>
      </c>
      <c r="E600" s="5">
        <v>4.5206752464970199E-3</v>
      </c>
      <c r="F600" s="5">
        <v>-6.3745054358011505E-2</v>
      </c>
    </row>
    <row r="601" spans="1:6">
      <c r="A601" s="7">
        <v>46164</v>
      </c>
      <c r="B601" s="5">
        <v>-7.57584035998316E-3</v>
      </c>
      <c r="C601" s="5">
        <v>4.5732027545777303E-3</v>
      </c>
      <c r="D601" s="5">
        <v>5.6679914837423099E-3</v>
      </c>
      <c r="E601" s="5">
        <v>1.44015579254011E-2</v>
      </c>
      <c r="F601" s="5">
        <v>-2.3404183221540399E-2</v>
      </c>
    </row>
    <row r="602" spans="1:6">
      <c r="A602" s="7">
        <v>46167</v>
      </c>
      <c r="B602" s="5">
        <v>-3.8167904198678198E-3</v>
      </c>
      <c r="C602" s="5">
        <v>9.1046952033801993E-3</v>
      </c>
      <c r="D602" s="5">
        <v>1.2882742837430101E-3</v>
      </c>
      <c r="E602" s="5">
        <v>-1.7747115074729901E-3</v>
      </c>
      <c r="F602" s="5">
        <v>-1.08932873796688E-2</v>
      </c>
    </row>
    <row r="603" spans="1:6">
      <c r="A603" s="7">
        <v>46168</v>
      </c>
      <c r="B603" s="5">
        <v>0</v>
      </c>
      <c r="C603" s="5">
        <v>-1.5037937952515599E-3</v>
      </c>
      <c r="D603" s="5">
        <v>-2.8948263797419199E-3</v>
      </c>
      <c r="E603" s="5">
        <v>-9.8126366015096594E-3</v>
      </c>
      <c r="F603" s="5">
        <v>-1.3215846538256699E-2</v>
      </c>
    </row>
    <row r="604" spans="1:6">
      <c r="A604" s="7">
        <v>46169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</row>
    <row r="605" spans="1:6">
      <c r="A605" s="7">
        <v>46170</v>
      </c>
      <c r="B605" s="5">
        <v>-1.14942423737795E-2</v>
      </c>
      <c r="C605" s="5">
        <v>1.05421947392939E-2</v>
      </c>
      <c r="D605" s="5">
        <v>-1.1290273358745E-3</v>
      </c>
      <c r="E605" s="5">
        <v>-5.4054430229447696E-3</v>
      </c>
      <c r="F605" s="5">
        <v>-2.67856886268272E-2</v>
      </c>
    </row>
    <row r="606" spans="1:6">
      <c r="A606" s="7">
        <v>46171</v>
      </c>
      <c r="B606" s="5">
        <v>-1.5503861641813299E-2</v>
      </c>
      <c r="C606" s="5">
        <v>1.0432216283669001E-2</v>
      </c>
      <c r="D606" s="5">
        <v>1.46940068291272E-2</v>
      </c>
      <c r="E606" s="5">
        <v>3.0797115377056799E-2</v>
      </c>
      <c r="F606" s="5">
        <v>-4.5871514481795597E-3</v>
      </c>
    </row>
    <row r="607" spans="1:6">
      <c r="A607" s="7">
        <v>46175</v>
      </c>
      <c r="B607" s="5">
        <v>0</v>
      </c>
      <c r="C607" s="5">
        <v>1.47488963646514E-3</v>
      </c>
      <c r="D607" s="5">
        <v>2.9121546975076702E-2</v>
      </c>
      <c r="E607" s="5">
        <v>-1.9332184957505799E-2</v>
      </c>
      <c r="F607" s="5">
        <v>0</v>
      </c>
    </row>
    <row r="608" spans="1:6">
      <c r="A608" s="7">
        <v>46176</v>
      </c>
      <c r="B608" s="5">
        <v>7.87400835704055E-3</v>
      </c>
      <c r="C608" s="5">
        <v>3.6818851458693402E-2</v>
      </c>
      <c r="D608" s="5">
        <v>5.8760614438206904E-3</v>
      </c>
      <c r="E608" s="5">
        <v>9.8566856501409693E-3</v>
      </c>
      <c r="F608" s="5">
        <v>2.3040902518667301E-3</v>
      </c>
    </row>
    <row r="609" spans="1:6">
      <c r="A609" s="7">
        <v>46177</v>
      </c>
      <c r="B609" s="5">
        <v>-1.17187390860634E-2</v>
      </c>
      <c r="C609" s="5">
        <v>1.42048706477604E-3</v>
      </c>
      <c r="D609" s="5">
        <v>-1.3989294687431699E-2</v>
      </c>
      <c r="E609" s="5">
        <v>-2.2182785256923399E-2</v>
      </c>
      <c r="F609" s="5">
        <v>-6.8964904894004402E-3</v>
      </c>
    </row>
    <row r="610" spans="1:6">
      <c r="A610" s="7">
        <v>46178</v>
      </c>
      <c r="B610" s="5">
        <v>-3.9525654451939597E-3</v>
      </c>
      <c r="C610" s="5">
        <v>-1.13475742381326E-2</v>
      </c>
      <c r="D610" s="5">
        <v>-5.6127317395899797E-3</v>
      </c>
      <c r="E610" s="5">
        <v>-1.17967431071504E-2</v>
      </c>
      <c r="F610" s="5">
        <v>-6.9444927352426697E-3</v>
      </c>
    </row>
    <row r="611" spans="1:6">
      <c r="A611" s="7">
        <v>46181</v>
      </c>
      <c r="B611" s="5">
        <v>-7.9365004277343106E-3</v>
      </c>
      <c r="C611" s="5">
        <v>-1.5781873742957701E-2</v>
      </c>
      <c r="D611" s="5">
        <v>-1.59924816131349E-2</v>
      </c>
      <c r="E611" s="5">
        <v>-2.4793429683335401E-2</v>
      </c>
      <c r="F611" s="5">
        <v>-1.8648001029701499E-2</v>
      </c>
    </row>
    <row r="612" spans="1:6">
      <c r="A612" s="7">
        <v>46182</v>
      </c>
      <c r="B612" s="5">
        <v>1.19999885559081E-2</v>
      </c>
      <c r="C612" s="5">
        <v>1.16617962316381E-2</v>
      </c>
      <c r="D612" s="5">
        <v>1.59337161686459E-2</v>
      </c>
      <c r="E612" s="5">
        <v>-2.8248336435469099E-3</v>
      </c>
      <c r="F612" s="5">
        <v>2.61282975101398E-2</v>
      </c>
    </row>
    <row r="613" spans="1:6">
      <c r="A613" s="7">
        <v>46183</v>
      </c>
      <c r="B613" s="5">
        <v>1.18576963355819E-2</v>
      </c>
      <c r="C613" s="5">
        <v>1.4408864498889301E-3</v>
      </c>
      <c r="D613" s="5">
        <v>-3.02697073601822E-2</v>
      </c>
      <c r="E613" s="5">
        <v>-2.83283593379935E-3</v>
      </c>
      <c r="F613" s="5">
        <v>-1.1574117765748701E-2</v>
      </c>
    </row>
    <row r="614" spans="1:6">
      <c r="A614" s="7">
        <v>46184</v>
      </c>
      <c r="B614" s="5">
        <v>-7.81249272404228E-3</v>
      </c>
      <c r="C614" s="5">
        <v>-7.1942036359554703E-3</v>
      </c>
      <c r="D614" s="5">
        <v>1.24534468747124E-2</v>
      </c>
      <c r="E614" s="5">
        <v>-3.7878750249594798E-3</v>
      </c>
      <c r="F614" s="5">
        <v>-4.6838363034779097E-3</v>
      </c>
    </row>
    <row r="615" spans="1:6">
      <c r="A615" s="7">
        <v>46185</v>
      </c>
      <c r="B615" s="5">
        <v>7.87400835704055E-3</v>
      </c>
      <c r="C615" s="5">
        <v>1.4492739601511999E-2</v>
      </c>
      <c r="D615" s="5">
        <v>1.0223693609358301E-2</v>
      </c>
      <c r="E615" s="5">
        <v>4.7527789814541003E-3</v>
      </c>
      <c r="F615" s="5">
        <v>4.7058778650619403E-3</v>
      </c>
    </row>
    <row r="616" spans="1:6">
      <c r="A616" s="7">
        <v>46188</v>
      </c>
      <c r="B616" s="5">
        <v>7.8124927240421603E-3</v>
      </c>
      <c r="C616" s="5">
        <v>2.4285725184849401E-2</v>
      </c>
      <c r="D616" s="5">
        <v>3.9531940759756096E-3</v>
      </c>
      <c r="E616" s="5">
        <v>1.6083262176174801E-2</v>
      </c>
      <c r="F616" s="5">
        <v>0</v>
      </c>
    </row>
    <row r="617" spans="1:6">
      <c r="A617" s="7">
        <v>46189</v>
      </c>
      <c r="B617" s="5">
        <v>0</v>
      </c>
      <c r="C617" s="5">
        <v>5.5787951781589599E-3</v>
      </c>
      <c r="D617" s="5">
        <v>3.78008910733629E-3</v>
      </c>
      <c r="E617" s="5">
        <v>4.6555113408217599E-3</v>
      </c>
      <c r="F617" s="5">
        <v>7.0258102909499503E-3</v>
      </c>
    </row>
    <row r="618" spans="1:6">
      <c r="A618" s="7">
        <v>46190</v>
      </c>
      <c r="B618" s="5">
        <v>0</v>
      </c>
      <c r="C618" s="5">
        <v>0</v>
      </c>
      <c r="D618" s="5">
        <v>2.0084773312226901E-2</v>
      </c>
      <c r="E618" s="5">
        <v>2.1316079399795101E-2</v>
      </c>
      <c r="F618" s="5">
        <v>1.16278399255514E-2</v>
      </c>
    </row>
    <row r="619" spans="1:6">
      <c r="A619" s="7">
        <v>46191</v>
      </c>
      <c r="B619" s="5">
        <v>-7.7519308209066402E-3</v>
      </c>
      <c r="C619" s="5">
        <v>4.1608505981229902E-3</v>
      </c>
      <c r="D619" s="5">
        <v>1.52283930355048E-2</v>
      </c>
      <c r="E619" s="5">
        <v>1.17966565668348E-2</v>
      </c>
      <c r="F619" s="5">
        <v>-4.5976968655135897E-3</v>
      </c>
    </row>
    <row r="620" spans="1:6">
      <c r="A620" s="7">
        <v>46192</v>
      </c>
      <c r="B620" s="5">
        <v>0</v>
      </c>
      <c r="C620" s="5">
        <v>5.5249226456823798E-3</v>
      </c>
      <c r="D620" s="5">
        <v>-6.0607447768701295E-4</v>
      </c>
      <c r="E620" s="5">
        <v>-2.8699525181364899E-2</v>
      </c>
      <c r="F620" s="5">
        <v>4.6189333207644597E-3</v>
      </c>
    </row>
    <row r="621" spans="1:6">
      <c r="A621" s="7">
        <v>46195</v>
      </c>
      <c r="B621" s="5">
        <v>-1.56249854480844E-2</v>
      </c>
      <c r="C621" s="5">
        <v>6.8680923704287399E-3</v>
      </c>
      <c r="D621" s="5">
        <v>5.00305997021111E-3</v>
      </c>
      <c r="E621" s="5">
        <v>-1.8466762908814201E-3</v>
      </c>
      <c r="F621" s="5">
        <v>2.29890324162674E-3</v>
      </c>
    </row>
    <row r="622" spans="1:6">
      <c r="A622" s="7">
        <v>46196</v>
      </c>
      <c r="B622" s="5">
        <v>0</v>
      </c>
      <c r="C622" s="5">
        <v>5.45702077344679E-3</v>
      </c>
      <c r="D622" s="5">
        <v>0</v>
      </c>
      <c r="E622" s="5">
        <v>-5.5504548832225904E-3</v>
      </c>
      <c r="F622" s="5">
        <v>-2.2936304072485002E-3</v>
      </c>
    </row>
    <row r="623" spans="1:6">
      <c r="A623" s="7">
        <v>46197</v>
      </c>
      <c r="B623" s="5">
        <v>-3.9682502138671501E-3</v>
      </c>
      <c r="C623" s="5">
        <v>1.76390931424086E-2</v>
      </c>
      <c r="D623" s="5">
        <v>-1.0559615908501999E-3</v>
      </c>
      <c r="E623" s="5">
        <v>-6.5115995185319698E-3</v>
      </c>
      <c r="F623" s="5">
        <v>1.3793090596540899E-2</v>
      </c>
    </row>
    <row r="624" spans="1:6">
      <c r="A624" s="7">
        <v>46198</v>
      </c>
      <c r="B624" s="5">
        <v>1.1952179881974201E-2</v>
      </c>
      <c r="C624" s="5">
        <v>1.8666648864746001E-2</v>
      </c>
      <c r="D624" s="5">
        <v>-2.2651996845933801E-3</v>
      </c>
      <c r="E624" s="5">
        <v>-1.49812586929019E-2</v>
      </c>
      <c r="F624" s="5">
        <v>-2.2675175489055301E-3</v>
      </c>
    </row>
    <row r="625" spans="1:6">
      <c r="A625" s="7">
        <v>46199</v>
      </c>
      <c r="B625" s="5">
        <v>-7.8740083570406592E-3</v>
      </c>
      <c r="C625" s="5">
        <v>1.3089305047901999E-3</v>
      </c>
      <c r="D625" s="5">
        <v>-9.6866867353501106E-3</v>
      </c>
      <c r="E625" s="5">
        <v>-1.0456331327474699E-2</v>
      </c>
      <c r="F625" s="5">
        <v>6.81812098203749E-3</v>
      </c>
    </row>
    <row r="626" spans="1:6">
      <c r="A626" s="7">
        <v>46202</v>
      </c>
      <c r="B626" s="5">
        <v>-3.9682502138671501E-3</v>
      </c>
      <c r="C626" s="5">
        <v>1.3071571137277501E-3</v>
      </c>
      <c r="D626" s="5">
        <v>9.1700820926579104E-3</v>
      </c>
      <c r="E626" s="5">
        <v>-2.8818187714622101E-3</v>
      </c>
      <c r="F626" s="5">
        <v>2.257388096917E-3</v>
      </c>
    </row>
    <row r="627" spans="1:6">
      <c r="A627" s="7">
        <v>46203</v>
      </c>
      <c r="B627" s="5">
        <v>-7.9681199213161892E-3</v>
      </c>
      <c r="C627" s="5">
        <v>2.6109636194406901E-3</v>
      </c>
      <c r="D627" s="5">
        <v>-9.5410762541994192E-3</v>
      </c>
      <c r="E627" s="5">
        <v>9.63413176453098E-4</v>
      </c>
      <c r="F627" s="5">
        <v>-6.7568039238112797E-3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4AA1-0ABA-4A67-A2C3-138FBA360A68}">
  <dimension ref="A3:F17"/>
  <sheetViews>
    <sheetView tabSelected="1" workbookViewId="0">
      <selection activeCell="B12" sqref="B12:F12"/>
    </sheetView>
  </sheetViews>
  <sheetFormatPr defaultRowHeight="15.75"/>
  <cols>
    <col min="1" max="1" width="9" style="1"/>
    <col min="2" max="2" width="24" style="1" customWidth="1"/>
    <col min="3" max="3" width="14.875" style="1" customWidth="1"/>
    <col min="4" max="4" width="18.125" style="1" customWidth="1"/>
    <col min="5" max="6" width="18" style="1" customWidth="1"/>
    <col min="7" max="16384" width="9" style="1"/>
  </cols>
  <sheetData>
    <row r="3" spans="1:6">
      <c r="A3" s="2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6" ht="16.5">
      <c r="A4" s="4" t="s">
        <v>1</v>
      </c>
      <c r="B4" s="11" t="s">
        <v>11</v>
      </c>
      <c r="C4" s="11">
        <f xml:space="preserve"> AVERAGE('Daily Returns'!B2:B627)*252</f>
        <v>-3.2693457049493786E-2</v>
      </c>
      <c r="D4" s="11">
        <f xml:space="preserve"> STDEV('Daily Returns'!B2:B627)*SQRT(252)</f>
        <v>0.20506687054351347</v>
      </c>
      <c r="E4" s="11">
        <f xml:space="preserve"> C4/D4</f>
        <v>-0.15942827314252356</v>
      </c>
    </row>
    <row r="5" spans="1:6">
      <c r="A5" s="11" t="s">
        <v>2</v>
      </c>
      <c r="B5" s="11" t="s">
        <v>12</v>
      </c>
      <c r="C5" s="11">
        <f>AVERAGE('Daily Returns'!C2:C627)*252</f>
        <v>0.13049581929692927</v>
      </c>
      <c r="D5" s="11">
        <f>STDEV('Daily Returns'!C2:C627)*SQRT(252)</f>
        <v>0.16433498432988952</v>
      </c>
      <c r="E5" s="11">
        <f>C5/D5</f>
        <v>0.79408422880285312</v>
      </c>
    </row>
    <row r="6" spans="1:6">
      <c r="A6" s="11" t="s">
        <v>3</v>
      </c>
      <c r="B6" s="11" t="s">
        <v>13</v>
      </c>
      <c r="C6" s="11">
        <f>AVERAGE('Daily Returns'!D2:D627)*252</f>
        <v>0.3850891967857405</v>
      </c>
      <c r="D6" s="11">
        <f>STDEV('Daily Returns'!D2:D627)*SQRT(252)</f>
        <v>0.17768692566390987</v>
      </c>
      <c r="E6" s="11">
        <f>C6/D6</f>
        <v>2.1672342821335464</v>
      </c>
    </row>
    <row r="7" spans="1:6">
      <c r="A7" s="11" t="s">
        <v>4</v>
      </c>
      <c r="B7" s="11" t="s">
        <v>14</v>
      </c>
      <c r="C7" s="11">
        <f>AVERAGE('Daily Returns'!E2:E627)*252</f>
        <v>0.45446960606305675</v>
      </c>
      <c r="D7" s="11">
        <f>STDEV('Daily Returns'!E2:E627)*SQRT(252)</f>
        <v>0.24248570890674262</v>
      </c>
      <c r="E7" s="11">
        <f>C7/D7</f>
        <v>1.8742119200016065</v>
      </c>
    </row>
    <row r="8" spans="1:6">
      <c r="A8" s="11" t="s">
        <v>5</v>
      </c>
      <c r="B8" s="11" t="s">
        <v>15</v>
      </c>
      <c r="C8" s="11">
        <f>AVERAGE('Daily Returns'!F2:F627)*252</f>
        <v>0.28582694053063251</v>
      </c>
      <c r="D8" s="11">
        <f>STDEV('Daily Returns'!F2:F627)*SQRT(252)</f>
        <v>0.20387834429402257</v>
      </c>
      <c r="E8" s="11">
        <f>C8/D8</f>
        <v>1.4019485076768528</v>
      </c>
    </row>
    <row r="11" spans="1:6">
      <c r="A11" s="19" t="s">
        <v>16</v>
      </c>
      <c r="B11" s="19"/>
    </row>
    <row r="12" spans="1:6">
      <c r="B12" s="11" t="s">
        <v>1</v>
      </c>
      <c r="C12" s="11" t="s">
        <v>2</v>
      </c>
      <c r="D12" s="11" t="s">
        <v>3</v>
      </c>
      <c r="E12" s="11" t="s">
        <v>4</v>
      </c>
      <c r="F12" s="11" t="s">
        <v>5</v>
      </c>
    </row>
    <row r="13" spans="1:6">
      <c r="A13" s="21" t="s">
        <v>1</v>
      </c>
      <c r="B13" s="1" cm="1">
        <f t="array" ref="B13">SUMPRODUCT(('Daily Returns'!$B$2:$B$627-AVERAGE('Daily Returns'!$B$2:$B$627)),('Daily Returns'!$B$2:$B$627-AVERAGE('Daily Returns'!$B$2:$B$627)))/(COUNT('Daily Returns'!$B$2:$B$627)-1)</f>
        <v>1.6687468807345329E-4</v>
      </c>
      <c r="C13" s="1" cm="1">
        <f t="array" ref="C13">SUMPRODUCT(('Daily Returns'!$B$2:$B$627-AVERAGE('Daily Returns'!$B$2:$B$627)),('Daily Returns'!$C$2:$C$627-AVERAGE('Daily Returns'!$C$2:$C$627)))/(COUNT('Daily Returns'!$B$2:$B$627)-1)</f>
        <v>4.6103385527861346E-5</v>
      </c>
      <c r="D13" s="1" cm="1">
        <f t="array" ref="D13">SUMPRODUCT(('Daily Returns'!$B$2:$B$627-AVERAGE('Daily Returns'!$B$2:$B$627)),('Daily Returns'!$D$2:$D$627-AVERAGE('Daily Returns'!$D$2:$D$627)))/(COUNT('Daily Returns'!$B$2:$B$627)-1)</f>
        <v>4.2177155590063057E-5</v>
      </c>
      <c r="E13" s="1" cm="1">
        <f t="array" ref="E13">SUMPRODUCT(('Daily Returns'!$B$2:$B$627-AVERAGE('Daily Returns'!$B$2:$B$627)),('Daily Returns'!$E$2:$E$627-AVERAGE('Daily Returns'!$E$2:$E$627)))/(COUNT('Daily Returns'!$B$2:$B$627)-1)</f>
        <v>5.4248503942340501E-5</v>
      </c>
      <c r="F13" s="1" cm="1">
        <f t="array" ref="F13">SUMPRODUCT(('Daily Returns'!$B$2:$B$627-AVERAGE('Daily Returns'!$B$2:$B$627)),('Daily Returns'!$F$2:$F$627-AVERAGE('Daily Returns'!$F$2:$F$627)))/(COUNT('Daily Returns'!$B$2:$B$627)-1)</f>
        <v>4.3182568144497168E-5</v>
      </c>
    </row>
    <row r="14" spans="1:6">
      <c r="A14" s="21" t="s">
        <v>2</v>
      </c>
      <c r="B14" s="1">
        <f>C13</f>
        <v>4.6103385527861346E-5</v>
      </c>
      <c r="C14" s="1" cm="1">
        <f t="array" ref="C14">SUMPRODUCT(('Daily Returns'!$C$2:$C$627-AVERAGE('Daily Returns'!$C$2:$C$627)),('Daily Returns'!$C$2:$C$627-AVERAGE('Daily Returns'!$C$2:$C$627)))/(COUNT('Daily Returns'!$C$2:$C$627)-1)</f>
        <v>1.0716661537581347E-4</v>
      </c>
      <c r="D14" s="1" cm="1">
        <f t="array" ref="D14">SUMPRODUCT(('Daily Returns'!$C$2:$C$627-AVERAGE('Daily Returns'!$C$2:$C$627)),('Daily Returns'!$D$2:$D$627-AVERAGE('Daily Returns'!$D$2:$D$627)))/(COUNT('Daily Returns'!$C$2:$C$627)-1)</f>
        <v>4.6401375353033992E-5</v>
      </c>
      <c r="E14" s="1" cm="1">
        <f t="array" ref="E14">SUMPRODUCT(('Daily Returns'!$C$2:$C$627-AVERAGE('Daily Returns'!$C$2:$C$627)),('Daily Returns'!$E$2:$E$627-AVERAGE('Daily Returns'!$E$2:$E$627)))/(COUNT('Daily Returns'!$C$2:$C$627)-1)</f>
        <v>3.9810029368017926E-5</v>
      </c>
      <c r="F14" s="1" cm="1">
        <f t="array" ref="F14">SUMPRODUCT(('Daily Returns'!$C$2:$C$627-AVERAGE('Daily Returns'!$C$2:$C$627)),('Daily Returns'!$F$2:$F$627-AVERAGE('Daily Returns'!$F$2:$F$627)))/(COUNT('Daily Returns'!$C$2:$C$627)-1)</f>
        <v>3.406356668919257E-5</v>
      </c>
    </row>
    <row r="15" spans="1:6">
      <c r="A15" s="21" t="s">
        <v>3</v>
      </c>
      <c r="B15" s="1">
        <f>D13</f>
        <v>4.2177155590063057E-5</v>
      </c>
      <c r="C15" s="1">
        <f>D14</f>
        <v>4.6401375353033992E-5</v>
      </c>
      <c r="D15" s="1" cm="1">
        <f t="array" ref="D15">SUMPRODUCT(('Daily Returns'!$D$2:$D$627-AVERAGE('Daily Returns'!$D$2:$D$627)),('Daily Returns'!$D$2:$D$627-AVERAGE('Daily Returns'!$D$2:$D$627)))/(COUNT('Daily Returns'!$D$2:$D$627)-1)</f>
        <v>1.2528826806306264E-4</v>
      </c>
      <c r="E15" s="1" cm="1">
        <f t="array" ref="E15">SUMPRODUCT(('Daily Returns'!$D$2:$D$627-AVERAGE('Daily Returns'!$D$2:$D$627)),('Daily Returns'!$E$2:$E$627-AVERAGE('Daily Returns'!$E$2:$E$627)))/(COUNT('Daily Returns'!$D$2:$D$627)-1)</f>
        <v>4.627565114298606E-5</v>
      </c>
      <c r="F15" s="1" cm="1">
        <f t="array" ref="F15">SUMPRODUCT(('Daily Returns'!$D$2:$D$627-AVERAGE('Daily Returns'!$D$2:$D$627)),('Daily Returns'!$F$2:$F$627-AVERAGE('Daily Returns'!$F$2:$F$627)))/(COUNT('Daily Returns'!$D$2:$D$627)-1)</f>
        <v>3.8200955856685944E-5</v>
      </c>
    </row>
    <row r="16" spans="1:6">
      <c r="A16" s="21" t="s">
        <v>4</v>
      </c>
      <c r="B16" s="1">
        <f>E13</f>
        <v>5.4248503942340501E-5</v>
      </c>
      <c r="C16" s="1">
        <f>E14</f>
        <v>3.9810029368017926E-5</v>
      </c>
      <c r="D16" s="1">
        <f>E15</f>
        <v>4.627565114298606E-5</v>
      </c>
      <c r="E16" s="1" cm="1">
        <f t="array" ref="E16">SUMPRODUCT(('Daily Returns'!$E$2:$E$627-AVERAGE('Daily Returns'!$E$2:$E$627)),('Daily Returns'!$E$2:$E$627-AVERAGE('Daily Returns'!$E$2:$E$627)))/(COUNT('Daily Returns'!$E$2:$E$627)-1)</f>
        <v>2.3333063104764075E-4</v>
      </c>
      <c r="F16" s="1" cm="1">
        <f t="array" ref="F16">SUMPRODUCT(('Daily Returns'!$E$2:$E$627-AVERAGE('Daily Returns'!$E$2:$E$627)),('Daily Returns'!$F$2:$F$627-AVERAGE('Daily Returns'!$F$2:$F$627)))/(COUNT('Daily Returns'!$E$2:$E$627)-1)</f>
        <v>5.6748489095960942E-5</v>
      </c>
    </row>
    <row r="17" spans="1:6">
      <c r="A17" s="21" t="s">
        <v>5</v>
      </c>
      <c r="B17" s="1">
        <f>F13</f>
        <v>4.3182568144497168E-5</v>
      </c>
      <c r="C17" s="1">
        <f>F14</f>
        <v>3.406356668919257E-5</v>
      </c>
      <c r="D17" s="1">
        <f>F15</f>
        <v>3.8200955856685944E-5</v>
      </c>
      <c r="E17" s="1">
        <f>F16</f>
        <v>5.6748489095960942E-5</v>
      </c>
      <c r="F17" s="1" cm="1">
        <f t="array" ref="F17">SUMPRODUCT(('Daily Returns'!$F$2:$F$627-AVERAGE('Daily Returns'!$F$2:$F$627)),('Daily Returns'!$F$2:$F$627-AVERAGE('Daily Returns'!$F$2:$F$627)))/(COUNT('Daily Returns'!$F$2:$F$627)-1)</f>
        <v>1.6494594949234938E-4</v>
      </c>
    </row>
  </sheetData>
  <mergeCells count="1"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9B58-3B30-4647-89A4-2D66249DE488}">
  <dimension ref="A1:E15"/>
  <sheetViews>
    <sheetView workbookViewId="0">
      <selection activeCell="D21" sqref="D21"/>
    </sheetView>
  </sheetViews>
  <sheetFormatPr defaultRowHeight="15.75"/>
  <cols>
    <col min="1" max="5" width="18.125" style="1" customWidth="1"/>
    <col min="6" max="16384" width="9" style="1"/>
  </cols>
  <sheetData>
    <row r="1" spans="1:5">
      <c r="A1" s="20" t="s">
        <v>17</v>
      </c>
    </row>
    <row r="2" spans="1:5">
      <c r="A2" s="10" t="s">
        <v>6</v>
      </c>
      <c r="B2" s="10" t="s">
        <v>18</v>
      </c>
    </row>
    <row r="3" spans="1:5">
      <c r="A3" s="1" t="s">
        <v>1</v>
      </c>
      <c r="B3" s="1">
        <v>0</v>
      </c>
    </row>
    <row r="4" spans="1:5">
      <c r="A4" s="1" t="s">
        <v>2</v>
      </c>
      <c r="B4" s="1">
        <v>0</v>
      </c>
    </row>
    <row r="5" spans="1:5">
      <c r="A5" s="1" t="s">
        <v>3</v>
      </c>
      <c r="B5" s="1">
        <v>0.6</v>
      </c>
    </row>
    <row r="6" spans="1:5">
      <c r="A6" s="1" t="s">
        <v>4</v>
      </c>
      <c r="B6" s="1">
        <v>0.2</v>
      </c>
    </row>
    <row r="7" spans="1:5">
      <c r="A7" s="1" t="s">
        <v>5</v>
      </c>
      <c r="B7" s="1">
        <v>0.2</v>
      </c>
    </row>
    <row r="8" spans="1:5">
      <c r="A8" s="18" t="s">
        <v>19</v>
      </c>
      <c r="B8" s="18"/>
      <c r="C8" s="1">
        <f>SUM(B3:B7)</f>
        <v>1</v>
      </c>
    </row>
    <row r="10" spans="1:5">
      <c r="A10" s="14" t="s">
        <v>20</v>
      </c>
      <c r="B10" s="15"/>
      <c r="C10" s="15">
        <f>SUMPRODUCT(B3:B7,Metrics!C4:C8)</f>
        <v>0.37911282739018215</v>
      </c>
      <c r="D10" s="15"/>
    </row>
    <row r="11" spans="1:5">
      <c r="A11" s="14" t="s">
        <v>21</v>
      </c>
      <c r="B11" s="14"/>
      <c r="C11" s="15">
        <f>SQRT(252*SUMPRODUCT(B3:B7,MMULT(Metrics!B13:F17,B3:B7)))</f>
        <v>0.14708492221175792</v>
      </c>
      <c r="D11" s="13"/>
    </row>
    <row r="12" spans="1:5">
      <c r="A12" s="18" t="s">
        <v>22</v>
      </c>
      <c r="B12" s="18"/>
      <c r="C12" s="16">
        <f>C10/C11</f>
        <v>2.5775097929097996</v>
      </c>
      <c r="D12" s="17"/>
    </row>
    <row r="15" spans="1:5" s="12" customFormat="1">
      <c r="A15" s="18" t="s">
        <v>23</v>
      </c>
      <c r="B15" s="18"/>
      <c r="C15" s="18"/>
      <c r="D15" s="18"/>
      <c r="E15" s="18"/>
    </row>
  </sheetData>
  <mergeCells count="3">
    <mergeCell ref="A8:B8"/>
    <mergeCell ref="A12:B12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A290-9786-4DD8-8FC9-F849B8545E6B}">
  <dimension ref="A1:C13"/>
  <sheetViews>
    <sheetView workbookViewId="0">
      <selection activeCell="C13" sqref="C13"/>
    </sheetView>
  </sheetViews>
  <sheetFormatPr defaultRowHeight="15.75"/>
  <cols>
    <col min="1" max="5" width="18.125" style="1" customWidth="1"/>
    <col min="6" max="16384" width="9" style="1"/>
  </cols>
  <sheetData>
    <row r="1" spans="1:3">
      <c r="A1" s="19" t="s">
        <v>24</v>
      </c>
      <c r="B1" s="19"/>
    </row>
    <row r="3" spans="1:3">
      <c r="A3" s="10" t="s">
        <v>6</v>
      </c>
      <c r="B3" s="10" t="s">
        <v>18</v>
      </c>
    </row>
    <row r="4" spans="1:3">
      <c r="A4" s="1" t="s">
        <v>1</v>
      </c>
      <c r="B4" s="1">
        <v>0.2</v>
      </c>
    </row>
    <row r="5" spans="1:3">
      <c r="A5" s="1" t="s">
        <v>2</v>
      </c>
      <c r="B5" s="1">
        <v>0.2</v>
      </c>
    </row>
    <row r="6" spans="1:3">
      <c r="A6" s="1" t="s">
        <v>3</v>
      </c>
      <c r="B6" s="1">
        <v>0.2</v>
      </c>
    </row>
    <row r="7" spans="1:3">
      <c r="A7" s="1" t="s">
        <v>4</v>
      </c>
      <c r="B7" s="1">
        <v>0.2</v>
      </c>
    </row>
    <row r="8" spans="1:3">
      <c r="A8" s="1" t="s">
        <v>5</v>
      </c>
      <c r="B8" s="1">
        <v>0.2</v>
      </c>
    </row>
    <row r="9" spans="1:3">
      <c r="A9" s="18" t="s">
        <v>19</v>
      </c>
      <c r="B9" s="18"/>
      <c r="C9" s="1">
        <f>SUM(B4:B8)</f>
        <v>1</v>
      </c>
    </row>
    <row r="11" spans="1:3">
      <c r="A11" s="18" t="s">
        <v>20</v>
      </c>
      <c r="B11" s="18"/>
      <c r="C11" s="15">
        <f>SUMPRODUCT(B4:B8,Metrics!C4:C8)</f>
        <v>0.24463762112537307</v>
      </c>
    </row>
    <row r="12" spans="1:3">
      <c r="A12" s="18" t="s">
        <v>21</v>
      </c>
      <c r="B12" s="18"/>
      <c r="C12" s="15">
        <f>SQRT(252*SUMPRODUCT(B4:B8,MMULT(Metrics!B13:F17,B4:B8)))</f>
        <v>0.13059731044632533</v>
      </c>
    </row>
    <row r="13" spans="1:3">
      <c r="A13" s="18" t="s">
        <v>22</v>
      </c>
      <c r="B13" s="18"/>
      <c r="C13" s="16">
        <f>C11/C12</f>
        <v>1.8732209743777042</v>
      </c>
    </row>
  </sheetData>
  <mergeCells count="5">
    <mergeCell ref="A9:B9"/>
    <mergeCell ref="A1:B1"/>
    <mergeCell ref="A13:B13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2026-07-21T10:02:33Z</dcterms:created>
  <dcterms:modified xsi:type="dcterms:W3CDTF">2026-07-22T01:57:32Z</dcterms:modified>
  <cp:category/>
  <cp:contentStatus/>
</cp:coreProperties>
</file>